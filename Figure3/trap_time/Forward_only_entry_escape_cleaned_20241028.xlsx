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ui_Zeng_Data\temp\processed\"/>
    </mc:Choice>
  </mc:AlternateContent>
  <xr:revisionPtr revIDLastSave="0" documentId="13_ncr:1_{4F64DF90-C9FA-48A8-8364-4EA52052611C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0" i="1" l="1"/>
  <c r="O110" i="1"/>
  <c r="N563" i="1"/>
  <c r="O563" i="1" s="1"/>
  <c r="N544" i="1"/>
  <c r="O544" i="1" s="1"/>
  <c r="N542" i="1"/>
  <c r="O542" i="1" s="1"/>
  <c r="N532" i="1"/>
  <c r="O532" i="1" s="1"/>
  <c r="N530" i="1"/>
  <c r="O530" i="1" s="1"/>
  <c r="N521" i="1"/>
  <c r="O521" i="1" s="1"/>
  <c r="N508" i="1"/>
  <c r="N502" i="1"/>
  <c r="O502" i="1" s="1"/>
  <c r="N496" i="1"/>
  <c r="O496" i="1" s="1"/>
  <c r="N488" i="1"/>
  <c r="O488" i="1" s="1"/>
  <c r="N470" i="1"/>
  <c r="O470" i="1" s="1"/>
  <c r="N464" i="1"/>
  <c r="O464" i="1" s="1"/>
  <c r="N452" i="1"/>
  <c r="O452" i="1" s="1"/>
  <c r="N451" i="1"/>
  <c r="O451" i="1" s="1"/>
  <c r="N449" i="1"/>
  <c r="O449" i="1" s="1"/>
  <c r="N439" i="1"/>
  <c r="O439" i="1" s="1"/>
  <c r="N436" i="1"/>
  <c r="O436" i="1" s="1"/>
  <c r="N435" i="1"/>
  <c r="O435" i="1" s="1"/>
  <c r="N423" i="1"/>
  <c r="O423" i="1" s="1"/>
  <c r="N418" i="1"/>
  <c r="O418" i="1" s="1"/>
  <c r="N393" i="1"/>
  <c r="O393" i="1" s="1"/>
  <c r="N386" i="1"/>
  <c r="O386" i="1" s="1"/>
  <c r="N349" i="1"/>
  <c r="O349" i="1" s="1"/>
  <c r="N372" i="1"/>
  <c r="O372" i="1" s="1"/>
  <c r="N370" i="1"/>
  <c r="O370" i="1" s="1"/>
  <c r="N357" i="1"/>
  <c r="O357" i="1" s="1"/>
  <c r="N354" i="1"/>
  <c r="O354" i="1" s="1"/>
  <c r="N348" i="1"/>
  <c r="O348" i="1" s="1"/>
  <c r="N329" i="1"/>
  <c r="O329" i="1" s="1"/>
  <c r="N338" i="1"/>
  <c r="O338" i="1" s="1"/>
  <c r="N320" i="1"/>
  <c r="O320" i="1" s="1"/>
  <c r="N300" i="1"/>
  <c r="O300" i="1" s="1"/>
  <c r="N298" i="1"/>
  <c r="O298" i="1" s="1"/>
  <c r="N291" i="1"/>
  <c r="O291" i="1" s="1"/>
  <c r="N290" i="1"/>
  <c r="O290" i="1" s="1"/>
  <c r="N288" i="1"/>
  <c r="O288" i="1" s="1"/>
  <c r="N261" i="1"/>
  <c r="O261" i="1" s="1"/>
  <c r="N257" i="1"/>
  <c r="O257" i="1" s="1"/>
  <c r="N241" i="1"/>
  <c r="O241" i="1" s="1"/>
  <c r="N246" i="1"/>
  <c r="O246" i="1" s="1"/>
  <c r="N233" i="1"/>
  <c r="O233" i="1" s="1"/>
  <c r="N223" i="1"/>
  <c r="O223" i="1" s="1"/>
  <c r="N214" i="1"/>
  <c r="O214" i="1" s="1"/>
  <c r="N211" i="1"/>
  <c r="O211" i="1" s="1"/>
  <c r="N199" i="1"/>
  <c r="O199" i="1" s="1"/>
  <c r="N198" i="1"/>
  <c r="O198" i="1" s="1"/>
  <c r="N190" i="1"/>
  <c r="O190" i="1" s="1"/>
  <c r="N184" i="1"/>
  <c r="O184" i="1" s="1"/>
  <c r="N168" i="1"/>
  <c r="O168" i="1" s="1"/>
  <c r="N165" i="1"/>
  <c r="O165" i="1" s="1"/>
  <c r="N164" i="1"/>
  <c r="O164" i="1" s="1"/>
  <c r="N163" i="1"/>
  <c r="O163" i="1" s="1"/>
  <c r="N150" i="1"/>
  <c r="O150" i="1" s="1"/>
  <c r="N139" i="1"/>
  <c r="O139" i="1" s="1"/>
  <c r="N129" i="1"/>
  <c r="O129" i="1" s="1"/>
  <c r="N122" i="1"/>
  <c r="O122" i="1" s="1"/>
  <c r="N113" i="1"/>
  <c r="O113" i="1" s="1"/>
  <c r="N101" i="1"/>
  <c r="O101" i="1" s="1"/>
  <c r="N102" i="1"/>
  <c r="O102" i="1" s="1"/>
  <c r="N95" i="1"/>
  <c r="O95" i="1" s="1"/>
  <c r="N86" i="1"/>
  <c r="O86" i="1" s="1"/>
  <c r="N85" i="1"/>
  <c r="O85" i="1" s="1"/>
  <c r="N84" i="1"/>
  <c r="O84" i="1" s="1"/>
  <c r="N83" i="1"/>
  <c r="O83" i="1" s="1"/>
  <c r="N79" i="1"/>
  <c r="O79" i="1" s="1"/>
  <c r="N73" i="1"/>
  <c r="O73" i="1" s="1"/>
  <c r="N50" i="1"/>
  <c r="O50" i="1" s="1"/>
  <c r="N13" i="1"/>
  <c r="O13" i="1" s="1"/>
</calcChain>
</file>

<file path=xl/sharedStrings.xml><?xml version="1.0" encoding="utf-8"?>
<sst xmlns="http://schemas.openxmlformats.org/spreadsheetml/2006/main" count="1625" uniqueCount="189">
  <si>
    <t>Field</t>
  </si>
  <si>
    <t>Well</t>
  </si>
  <si>
    <t>video_index</t>
  </si>
  <si>
    <t>time interval (ms)</t>
  </si>
  <si>
    <t>ROI_index</t>
  </si>
  <si>
    <t>ROI_info</t>
  </si>
  <si>
    <t>total_frame</t>
  </si>
  <si>
    <t>Bug_index (skip m)</t>
  </si>
  <si>
    <t>frame</t>
  </si>
  <si>
    <t>entry via</t>
  </si>
  <si>
    <t>escape via</t>
  </si>
  <si>
    <t>residence time</t>
  </si>
  <si>
    <t>residence time(ms)</t>
  </si>
  <si>
    <t>notes</t>
  </si>
  <si>
    <t>motion modes (not included multiple bugs) (c/s &amp; s/c: between skating and circling) (bi: impeded backward; bi/b: impeded backward+backward)</t>
  </si>
  <si>
    <t>blocked capsule (hole towards bottom;1/2 bottom; not blocked; blocked; blocked with spacing)</t>
  </si>
  <si>
    <t>hole number(multiple hole position: main hole + side hole)</t>
  </si>
  <si>
    <t>20241012_153343_344</t>
  </si>
  <si>
    <t>J4</t>
  </si>
  <si>
    <t>s</t>
  </si>
  <si>
    <t>spacing</t>
  </si>
  <si>
    <t>broken</t>
  </si>
  <si>
    <t>f</t>
  </si>
  <si>
    <t>not</t>
  </si>
  <si>
    <t>f_c</t>
  </si>
  <si>
    <t>c</t>
  </si>
  <si>
    <t>not_captured</t>
  </si>
  <si>
    <t>/</t>
  </si>
  <si>
    <t>blocked</t>
  </si>
  <si>
    <t>small</t>
  </si>
  <si>
    <t>f_s</t>
  </si>
  <si>
    <t>outfield</t>
  </si>
  <si>
    <t>1/2bottom</t>
  </si>
  <si>
    <t>small, outfield</t>
  </si>
  <si>
    <t>good to show</t>
  </si>
  <si>
    <t>outfocus</t>
  </si>
  <si>
    <t>c,attach</t>
  </si>
  <si>
    <t>attachment inside[414-495]</t>
  </si>
  <si>
    <t>c/s</t>
  </si>
  <si>
    <t>swim along outside surface</t>
  </si>
  <si>
    <t>bottom</t>
  </si>
  <si>
    <t>outfocus; indicates skating is the stable form for fast circling</t>
  </si>
  <si>
    <t>attachment inside[131-176]</t>
  </si>
  <si>
    <t>s, attach</t>
  </si>
  <si>
    <t>s,attach</t>
  </si>
  <si>
    <t>748+</t>
  </si>
  <si>
    <t>386+</t>
  </si>
  <si>
    <t>2536+</t>
  </si>
  <si>
    <t>attachment inside[77-132]</t>
  </si>
  <si>
    <t>small; outfocus</t>
  </si>
  <si>
    <t>1026+</t>
  </si>
  <si>
    <t>attach inside; middle capsule</t>
  </si>
  <si>
    <t>attach</t>
  </si>
  <si>
    <t>attach, b</t>
  </si>
  <si>
    <t>b</t>
  </si>
  <si>
    <t>351+</t>
  </si>
  <si>
    <t>attachment inside[1-153]; attachment pole is moving front and thus backward motion; middle</t>
  </si>
  <si>
    <t>middle capsule</t>
  </si>
  <si>
    <t>5199+</t>
  </si>
  <si>
    <t>7682+</t>
  </si>
  <si>
    <t>3157+</t>
  </si>
  <si>
    <t>6586+</t>
  </si>
  <si>
    <t>20241012_154738_973</t>
  </si>
  <si>
    <t>J5</t>
  </si>
  <si>
    <t>215+</t>
  </si>
  <si>
    <t>b/bi</t>
  </si>
  <si>
    <t>outfield; stuck on hole[677-748]</t>
  </si>
  <si>
    <t>attachment inside[16-39]; stuck on hole via backward[345-392]; later forward</t>
  </si>
  <si>
    <t>b, attach, c</t>
  </si>
  <si>
    <t>backward switch to forward after stuck on hole</t>
  </si>
  <si>
    <t>spin on outside then move capsule around (no spin) even when a bug comes inside[1-619]</t>
  </si>
  <si>
    <t>outfocus; not sure if it's the same bug</t>
  </si>
  <si>
    <t>sliding during skating</t>
  </si>
  <si>
    <t>sliding[124-147]</t>
  </si>
  <si>
    <t>s, sliding</t>
  </si>
  <si>
    <t>1571+</t>
  </si>
  <si>
    <t>one skating bug in a capsule out of field</t>
  </si>
  <si>
    <t>one forward + one backward [317-540]</t>
  </si>
  <si>
    <t>curved bug</t>
  </si>
  <si>
    <t>8228+</t>
  </si>
  <si>
    <t>6387+</t>
  </si>
  <si>
    <t>366+</t>
  </si>
  <si>
    <t>long bug stuck while enter</t>
  </si>
  <si>
    <t>20241012_160212_841</t>
  </si>
  <si>
    <t>J6</t>
  </si>
  <si>
    <t>1620+</t>
  </si>
  <si>
    <t>attachment inside[228-250]</t>
  </si>
  <si>
    <t>m</t>
  </si>
  <si>
    <t>three bugs</t>
  </si>
  <si>
    <t>out of focus; three bugs</t>
  </si>
  <si>
    <t>c,s</t>
  </si>
  <si>
    <t>outfield; two bugs</t>
  </si>
  <si>
    <t>882+</t>
  </si>
  <si>
    <t>two bugs</t>
  </si>
  <si>
    <t>3109+</t>
  </si>
  <si>
    <t>1237+</t>
  </si>
  <si>
    <t>1583+</t>
  </si>
  <si>
    <t>20241012_161639_817</t>
  </si>
  <si>
    <t>J7</t>
  </si>
  <si>
    <t>spin on outside</t>
  </si>
  <si>
    <t>abnormal</t>
  </si>
  <si>
    <t>spin</t>
  </si>
  <si>
    <t>abnormal, spin</t>
  </si>
  <si>
    <t>spin on inside surface</t>
  </si>
  <si>
    <t>239+</t>
  </si>
  <si>
    <t>spin/s</t>
  </si>
  <si>
    <t>move along outside</t>
  </si>
  <si>
    <t>2917+</t>
  </si>
  <si>
    <t>s/spin</t>
  </si>
  <si>
    <t>thinner than index_3</t>
  </si>
  <si>
    <t>move along small circle then circling</t>
  </si>
  <si>
    <t>small circling then circling</t>
  </si>
  <si>
    <t>two bugs; index_4 thinner</t>
  </si>
  <si>
    <t>before interaction, index_1 skating, index_2 circling (but also able to move along small circle); interaction[156-177]; after interaction, index_2 go into skating mode[177-240]; [241-322] circling, [323-748] skating</t>
  </si>
  <si>
    <t>interaction; circling to skating to circling to skating</t>
  </si>
  <si>
    <t>in the previous minute, skating+circling; in this minute, only circling</t>
  </si>
  <si>
    <t>from circling to skating</t>
  </si>
  <si>
    <t>1525+</t>
  </si>
  <si>
    <t>slow circling; outfocus</t>
  </si>
  <si>
    <t>slow circling</t>
  </si>
  <si>
    <t>457+</t>
  </si>
  <si>
    <t>stuck on hole</t>
  </si>
  <si>
    <t>134+</t>
  </si>
  <si>
    <t>[1-710] circling; [711-748] skating</t>
  </si>
  <si>
    <t>circling to skating</t>
  </si>
  <si>
    <t>5236+</t>
  </si>
  <si>
    <t>4425+</t>
  </si>
  <si>
    <t>255+</t>
  </si>
  <si>
    <t>escaped in time_10</t>
  </si>
  <si>
    <t>1304+</t>
  </si>
  <si>
    <t>4059+</t>
  </si>
  <si>
    <t>5815+</t>
  </si>
  <si>
    <t>4429+</t>
  </si>
  <si>
    <t>6969+</t>
  </si>
  <si>
    <t>1550+</t>
  </si>
  <si>
    <t>2307+</t>
  </si>
  <si>
    <t>circling again</t>
  </si>
  <si>
    <t>outfield_391frame</t>
  </si>
  <si>
    <t>858+</t>
  </si>
  <si>
    <t>896+</t>
  </si>
  <si>
    <t>20241012_163052_072</t>
  </si>
  <si>
    <t>J8</t>
  </si>
  <si>
    <t>index_3 faster</t>
  </si>
  <si>
    <t>after entry, attached, then skating</t>
  </si>
  <si>
    <t>attachment[262-270]</t>
  </si>
  <si>
    <t>attached spin outside surface</t>
  </si>
  <si>
    <t>attached spin</t>
  </si>
  <si>
    <t>similar speed</t>
  </si>
  <si>
    <t>two bugs; similar speed</t>
  </si>
  <si>
    <t>similar speed; both fast</t>
  </si>
  <si>
    <t>index_2 sometimes attach to the surface(very short)</t>
  </si>
  <si>
    <t>attach [620-685] then circling</t>
  </si>
  <si>
    <t>c, attach</t>
  </si>
  <si>
    <t>two bugs; both fast</t>
  </si>
  <si>
    <t>5432+</t>
  </si>
  <si>
    <t>entanglement[709-715]</t>
  </si>
  <si>
    <t>593+</t>
  </si>
  <si>
    <t>881+</t>
  </si>
  <si>
    <t>initially circling; later [18-748] skating</t>
  </si>
  <si>
    <t>entanglement[636-645]</t>
  </si>
  <si>
    <t>circling-skating-circling-skating-circling</t>
  </si>
  <si>
    <t>circling-skating</t>
  </si>
  <si>
    <t>6248+</t>
  </si>
  <si>
    <t>1616+</t>
  </si>
  <si>
    <t>205+</t>
  </si>
  <si>
    <t>20241012_164558_074</t>
  </si>
  <si>
    <t>J9</t>
  </si>
  <si>
    <t>slow down later</t>
  </si>
  <si>
    <t>small circling</t>
  </si>
  <si>
    <t>out</t>
  </si>
  <si>
    <t>fast circling to slower circling, then fast again</t>
  </si>
  <si>
    <t>attach [620-685] then circling; looks like backward_impeded</t>
  </si>
  <si>
    <t>[1-49] backward; [50-80] stuck on hole + backward; [81-441] skating</t>
  </si>
  <si>
    <t>b, s</t>
  </si>
  <si>
    <t>backward switch to skating</t>
  </si>
  <si>
    <t>not count</t>
  </si>
  <si>
    <t>551+</t>
  </si>
  <si>
    <t>index_3 slower</t>
  </si>
  <si>
    <t>[676-748] attached spin outside</t>
  </si>
  <si>
    <t>outfield_frame664</t>
  </si>
  <si>
    <t>4366+</t>
  </si>
  <si>
    <t>outfocus_frame564</t>
  </si>
  <si>
    <t>[207-296] backward_impeded or attachment; then circling</t>
  </si>
  <si>
    <t>8976+</t>
  </si>
  <si>
    <t>8014+</t>
  </si>
  <si>
    <t>1290+</t>
  </si>
  <si>
    <t>abnormal slow circling</t>
  </si>
  <si>
    <t>m_n3</t>
  </si>
  <si>
    <t>m_n2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</si>
</sst>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4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B2" t="s">
        <v>17</v>
      </c>
      <c r="C2" t="s">
        <v>18</v>
      </c>
      <c r="D2">
        <v>0</v>
      </c>
      <c r="E2">
        <v>80</v>
      </c>
      <c r="F2">
        <v>1</v>
      </c>
      <c r="H2">
        <v>748</v>
      </c>
      <c r="I2">
        <v>1</v>
      </c>
      <c r="L2">
        <v>999</v>
      </c>
      <c r="M2" t="s">
        <v>26</v>
      </c>
      <c r="N2" s="1" t="s">
        <v>45</v>
      </c>
      <c r="O2" s="1" t="s">
        <v>27</v>
      </c>
      <c r="Q2" t="s">
        <v>19</v>
      </c>
      <c r="R2" t="s">
        <v>20</v>
      </c>
      <c r="S2">
        <v>1</v>
      </c>
    </row>
    <row r="3" spans="1:19" x14ac:dyDescent="0.25">
      <c r="A3" s="1"/>
      <c r="F3">
        <v>2</v>
      </c>
      <c r="H3">
        <v>748</v>
      </c>
      <c r="I3" s="1" t="s">
        <v>27</v>
      </c>
      <c r="P3" t="s">
        <v>21</v>
      </c>
    </row>
    <row r="4" spans="1:19" x14ac:dyDescent="0.25">
      <c r="F4">
        <v>3</v>
      </c>
      <c r="H4">
        <v>748</v>
      </c>
      <c r="I4">
        <v>1</v>
      </c>
      <c r="J4">
        <v>552</v>
      </c>
      <c r="K4" t="s">
        <v>22</v>
      </c>
      <c r="Q4" t="s">
        <v>19</v>
      </c>
      <c r="R4" t="s">
        <v>23</v>
      </c>
      <c r="S4">
        <v>2</v>
      </c>
    </row>
    <row r="5" spans="1:19" x14ac:dyDescent="0.25">
      <c r="F5">
        <v>4</v>
      </c>
      <c r="H5">
        <v>748</v>
      </c>
      <c r="I5">
        <v>1</v>
      </c>
      <c r="L5">
        <v>386</v>
      </c>
      <c r="M5" t="s">
        <v>24</v>
      </c>
      <c r="N5" s="1" t="s">
        <v>46</v>
      </c>
      <c r="O5" s="1" t="s">
        <v>27</v>
      </c>
      <c r="Q5" t="s">
        <v>25</v>
      </c>
      <c r="R5" t="s">
        <v>23</v>
      </c>
      <c r="S5">
        <v>1</v>
      </c>
    </row>
    <row r="6" spans="1:19" x14ac:dyDescent="0.25">
      <c r="D6">
        <v>1</v>
      </c>
      <c r="E6">
        <v>80</v>
      </c>
      <c r="F6">
        <v>3</v>
      </c>
      <c r="H6">
        <v>748</v>
      </c>
      <c r="I6">
        <v>1</v>
      </c>
      <c r="Q6" t="s">
        <v>19</v>
      </c>
      <c r="R6" t="s">
        <v>23</v>
      </c>
      <c r="S6">
        <v>2</v>
      </c>
    </row>
    <row r="7" spans="1:19" x14ac:dyDescent="0.25">
      <c r="F7">
        <v>5</v>
      </c>
      <c r="H7">
        <v>748</v>
      </c>
      <c r="I7">
        <v>1</v>
      </c>
      <c r="J7">
        <v>547</v>
      </c>
      <c r="K7" t="s">
        <v>22</v>
      </c>
      <c r="Q7" t="s">
        <v>25</v>
      </c>
      <c r="R7" t="s">
        <v>23</v>
      </c>
      <c r="S7">
        <v>1</v>
      </c>
    </row>
    <row r="8" spans="1:19" x14ac:dyDescent="0.25">
      <c r="D8">
        <v>2</v>
      </c>
      <c r="E8">
        <v>80</v>
      </c>
      <c r="F8">
        <v>3</v>
      </c>
      <c r="H8">
        <v>748</v>
      </c>
      <c r="I8">
        <v>1</v>
      </c>
      <c r="Q8" t="s">
        <v>19</v>
      </c>
      <c r="R8" t="s">
        <v>23</v>
      </c>
      <c r="S8">
        <v>2</v>
      </c>
    </row>
    <row r="9" spans="1:19" x14ac:dyDescent="0.25">
      <c r="F9">
        <v>5</v>
      </c>
      <c r="H9">
        <v>748</v>
      </c>
      <c r="I9">
        <v>1</v>
      </c>
      <c r="Q9" t="s">
        <v>25</v>
      </c>
      <c r="R9" t="s">
        <v>28</v>
      </c>
      <c r="S9">
        <v>1</v>
      </c>
    </row>
    <row r="10" spans="1:19" x14ac:dyDescent="0.25">
      <c r="F10">
        <v>6</v>
      </c>
      <c r="H10">
        <v>748</v>
      </c>
      <c r="I10" s="1" t="s">
        <v>27</v>
      </c>
      <c r="P10" t="s">
        <v>29</v>
      </c>
    </row>
    <row r="11" spans="1:19" x14ac:dyDescent="0.25">
      <c r="F11">
        <v>7</v>
      </c>
      <c r="H11">
        <v>748</v>
      </c>
      <c r="I11">
        <v>1</v>
      </c>
      <c r="J11">
        <v>457</v>
      </c>
      <c r="K11" t="s">
        <v>22</v>
      </c>
      <c r="Q11" t="s">
        <v>25</v>
      </c>
      <c r="R11" t="s">
        <v>23</v>
      </c>
      <c r="S11">
        <v>1</v>
      </c>
    </row>
    <row r="12" spans="1:19" x14ac:dyDescent="0.25">
      <c r="F12">
        <v>8</v>
      </c>
      <c r="H12">
        <v>748</v>
      </c>
      <c r="I12">
        <v>1</v>
      </c>
      <c r="P12" t="s">
        <v>31</v>
      </c>
      <c r="Q12" t="s">
        <v>19</v>
      </c>
      <c r="R12" t="s">
        <v>23</v>
      </c>
      <c r="S12">
        <v>3</v>
      </c>
    </row>
    <row r="13" spans="1:19" x14ac:dyDescent="0.25">
      <c r="D13">
        <v>3</v>
      </c>
      <c r="E13">
        <v>80</v>
      </c>
      <c r="F13">
        <v>3</v>
      </c>
      <c r="H13">
        <v>748</v>
      </c>
      <c r="I13">
        <v>1</v>
      </c>
      <c r="L13">
        <v>460</v>
      </c>
      <c r="M13" t="s">
        <v>30</v>
      </c>
      <c r="N13">
        <f>460+748*3-552+1</f>
        <v>2153</v>
      </c>
      <c r="O13">
        <f>N13*80</f>
        <v>172240</v>
      </c>
      <c r="Q13" t="s">
        <v>19</v>
      </c>
      <c r="R13" t="s">
        <v>23</v>
      </c>
      <c r="S13">
        <v>2</v>
      </c>
    </row>
    <row r="14" spans="1:19" x14ac:dyDescent="0.25">
      <c r="F14">
        <v>5</v>
      </c>
      <c r="H14">
        <v>748</v>
      </c>
      <c r="I14">
        <v>1</v>
      </c>
      <c r="Q14" t="s">
        <v>25</v>
      </c>
      <c r="R14" t="s">
        <v>28</v>
      </c>
    </row>
    <row r="15" spans="1:19" x14ac:dyDescent="0.25">
      <c r="F15">
        <v>6</v>
      </c>
      <c r="H15">
        <v>748</v>
      </c>
      <c r="I15" s="1" t="s">
        <v>27</v>
      </c>
      <c r="P15" t="s">
        <v>29</v>
      </c>
    </row>
    <row r="16" spans="1:19" x14ac:dyDescent="0.25">
      <c r="F16">
        <v>7</v>
      </c>
      <c r="H16">
        <v>748</v>
      </c>
      <c r="I16">
        <v>1</v>
      </c>
      <c r="P16" t="s">
        <v>31</v>
      </c>
      <c r="Q16" t="s">
        <v>25</v>
      </c>
      <c r="R16" t="s">
        <v>23</v>
      </c>
    </row>
    <row r="17" spans="4:19" x14ac:dyDescent="0.25">
      <c r="F17">
        <v>8</v>
      </c>
      <c r="H17">
        <v>748</v>
      </c>
      <c r="I17">
        <v>1</v>
      </c>
      <c r="N17" s="1"/>
      <c r="P17" t="s">
        <v>31</v>
      </c>
      <c r="Q17" t="s">
        <v>19</v>
      </c>
      <c r="R17" t="s">
        <v>23</v>
      </c>
    </row>
    <row r="18" spans="4:19" x14ac:dyDescent="0.25">
      <c r="F18">
        <v>9</v>
      </c>
      <c r="H18">
        <v>748</v>
      </c>
      <c r="I18">
        <v>1</v>
      </c>
      <c r="J18">
        <v>156</v>
      </c>
      <c r="K18" t="s">
        <v>22</v>
      </c>
      <c r="P18" t="s">
        <v>31</v>
      </c>
      <c r="Q18" t="s">
        <v>25</v>
      </c>
      <c r="R18" t="s">
        <v>40</v>
      </c>
      <c r="S18">
        <v>1</v>
      </c>
    </row>
    <row r="19" spans="4:19" x14ac:dyDescent="0.25">
      <c r="F19">
        <v>10</v>
      </c>
      <c r="H19">
        <v>748</v>
      </c>
      <c r="I19" s="1" t="s">
        <v>27</v>
      </c>
      <c r="P19" t="s">
        <v>33</v>
      </c>
    </row>
    <row r="20" spans="4:19" x14ac:dyDescent="0.25">
      <c r="F20">
        <v>11</v>
      </c>
      <c r="H20">
        <v>748</v>
      </c>
      <c r="I20">
        <v>1</v>
      </c>
      <c r="J20">
        <v>691</v>
      </c>
      <c r="K20" t="s">
        <v>22</v>
      </c>
      <c r="Q20" t="s">
        <v>25</v>
      </c>
      <c r="R20" t="s">
        <v>20</v>
      </c>
      <c r="S20">
        <v>1</v>
      </c>
    </row>
    <row r="21" spans="4:19" x14ac:dyDescent="0.25">
      <c r="F21">
        <v>12</v>
      </c>
      <c r="H21">
        <v>748</v>
      </c>
      <c r="I21" s="1" t="s">
        <v>27</v>
      </c>
      <c r="P21" t="s">
        <v>29</v>
      </c>
    </row>
    <row r="22" spans="4:19" x14ac:dyDescent="0.25">
      <c r="F22">
        <v>13</v>
      </c>
      <c r="H22">
        <v>748</v>
      </c>
      <c r="I22">
        <v>1</v>
      </c>
      <c r="J22">
        <v>147</v>
      </c>
      <c r="K22" t="s">
        <v>22</v>
      </c>
      <c r="P22" t="s">
        <v>34</v>
      </c>
      <c r="Q22" t="s">
        <v>38</v>
      </c>
      <c r="R22" t="s">
        <v>23</v>
      </c>
      <c r="S22">
        <v>1</v>
      </c>
    </row>
    <row r="23" spans="4:19" x14ac:dyDescent="0.25">
      <c r="D23">
        <v>4</v>
      </c>
      <c r="E23">
        <v>80</v>
      </c>
      <c r="F23">
        <v>4</v>
      </c>
      <c r="H23">
        <v>748</v>
      </c>
      <c r="I23">
        <v>2</v>
      </c>
      <c r="J23">
        <v>38</v>
      </c>
      <c r="K23" t="s">
        <v>22</v>
      </c>
      <c r="P23" t="s">
        <v>35</v>
      </c>
      <c r="Q23" t="s">
        <v>25</v>
      </c>
      <c r="R23" t="s">
        <v>23</v>
      </c>
    </row>
    <row r="24" spans="4:19" x14ac:dyDescent="0.25">
      <c r="F24">
        <v>5</v>
      </c>
      <c r="H24">
        <v>748</v>
      </c>
      <c r="I24">
        <v>1</v>
      </c>
      <c r="Q24" t="s">
        <v>25</v>
      </c>
      <c r="R24" t="s">
        <v>20</v>
      </c>
    </row>
    <row r="25" spans="4:19" x14ac:dyDescent="0.25">
      <c r="F25">
        <v>6</v>
      </c>
      <c r="H25">
        <v>748</v>
      </c>
      <c r="I25" s="1" t="s">
        <v>27</v>
      </c>
      <c r="P25" t="s">
        <v>29</v>
      </c>
    </row>
    <row r="26" spans="4:19" x14ac:dyDescent="0.25">
      <c r="F26">
        <v>8</v>
      </c>
      <c r="H26">
        <v>748</v>
      </c>
      <c r="I26">
        <v>1</v>
      </c>
      <c r="P26" t="s">
        <v>35</v>
      </c>
      <c r="Q26" t="s">
        <v>19</v>
      </c>
      <c r="R26" t="s">
        <v>23</v>
      </c>
    </row>
    <row r="27" spans="4:19" x14ac:dyDescent="0.25">
      <c r="F27">
        <v>9</v>
      </c>
      <c r="H27">
        <v>748</v>
      </c>
      <c r="I27">
        <v>1</v>
      </c>
      <c r="P27" t="s">
        <v>37</v>
      </c>
      <c r="Q27" t="s">
        <v>36</v>
      </c>
      <c r="R27" t="s">
        <v>23</v>
      </c>
    </row>
    <row r="28" spans="4:19" x14ac:dyDescent="0.25">
      <c r="F28">
        <v>11</v>
      </c>
      <c r="H28">
        <v>748</v>
      </c>
      <c r="I28">
        <v>1</v>
      </c>
      <c r="Q28" t="s">
        <v>25</v>
      </c>
      <c r="R28" t="s">
        <v>23</v>
      </c>
    </row>
    <row r="29" spans="4:19" x14ac:dyDescent="0.25">
      <c r="F29">
        <v>12</v>
      </c>
      <c r="H29">
        <v>748</v>
      </c>
      <c r="I29" s="1" t="s">
        <v>27</v>
      </c>
      <c r="P29" t="s">
        <v>29</v>
      </c>
    </row>
    <row r="30" spans="4:19" x14ac:dyDescent="0.25">
      <c r="F30">
        <v>13</v>
      </c>
      <c r="H30">
        <v>748</v>
      </c>
      <c r="I30">
        <v>1</v>
      </c>
      <c r="Q30" t="s">
        <v>19</v>
      </c>
      <c r="R30" t="s">
        <v>23</v>
      </c>
    </row>
    <row r="31" spans="4:19" x14ac:dyDescent="0.25">
      <c r="F31">
        <v>14</v>
      </c>
      <c r="H31">
        <v>748</v>
      </c>
      <c r="I31" s="1" t="s">
        <v>27</v>
      </c>
      <c r="P31" t="s">
        <v>39</v>
      </c>
      <c r="R31" t="s">
        <v>23</v>
      </c>
      <c r="S31">
        <v>1</v>
      </c>
    </row>
    <row r="32" spans="4:19" x14ac:dyDescent="0.25">
      <c r="F32">
        <v>18</v>
      </c>
      <c r="H32">
        <v>748</v>
      </c>
      <c r="I32">
        <v>1</v>
      </c>
      <c r="J32">
        <v>598</v>
      </c>
      <c r="K32" t="s">
        <v>22</v>
      </c>
      <c r="P32" t="s">
        <v>31</v>
      </c>
      <c r="Q32" t="s">
        <v>38</v>
      </c>
      <c r="R32" t="s">
        <v>32</v>
      </c>
      <c r="S32">
        <v>1</v>
      </c>
    </row>
    <row r="33" spans="4:19" x14ac:dyDescent="0.25">
      <c r="D33">
        <v>5</v>
      </c>
      <c r="E33">
        <v>80</v>
      </c>
      <c r="F33">
        <v>4</v>
      </c>
      <c r="H33">
        <v>748</v>
      </c>
      <c r="I33">
        <v>2</v>
      </c>
      <c r="P33" t="s">
        <v>41</v>
      </c>
      <c r="Q33" t="s">
        <v>38</v>
      </c>
      <c r="R33" t="s">
        <v>23</v>
      </c>
    </row>
    <row r="34" spans="4:19" x14ac:dyDescent="0.25">
      <c r="F34">
        <v>5</v>
      </c>
      <c r="H34">
        <v>748</v>
      </c>
      <c r="I34">
        <v>1</v>
      </c>
      <c r="Q34" t="s">
        <v>25</v>
      </c>
      <c r="R34" t="s">
        <v>32</v>
      </c>
    </row>
    <row r="35" spans="4:19" x14ac:dyDescent="0.25">
      <c r="F35">
        <v>8</v>
      </c>
      <c r="H35">
        <v>748</v>
      </c>
      <c r="I35">
        <v>1</v>
      </c>
      <c r="L35">
        <v>292</v>
      </c>
      <c r="M35" t="s">
        <v>30</v>
      </c>
      <c r="N35" s="1" t="s">
        <v>47</v>
      </c>
      <c r="O35" s="1" t="s">
        <v>27</v>
      </c>
      <c r="P35" t="s">
        <v>42</v>
      </c>
      <c r="Q35" t="s">
        <v>44</v>
      </c>
      <c r="R35" t="s">
        <v>23</v>
      </c>
    </row>
    <row r="36" spans="4:19" x14ac:dyDescent="0.25">
      <c r="F36">
        <v>9</v>
      </c>
      <c r="H36">
        <v>748</v>
      </c>
      <c r="I36">
        <v>1</v>
      </c>
      <c r="P36" t="s">
        <v>48</v>
      </c>
      <c r="Q36" t="s">
        <v>36</v>
      </c>
      <c r="R36" t="s">
        <v>23</v>
      </c>
    </row>
    <row r="37" spans="4:19" x14ac:dyDescent="0.25">
      <c r="F37">
        <v>11</v>
      </c>
      <c r="H37">
        <v>748</v>
      </c>
      <c r="I37">
        <v>1</v>
      </c>
      <c r="P37" t="s">
        <v>31</v>
      </c>
      <c r="Q37" t="s">
        <v>38</v>
      </c>
      <c r="R37" t="s">
        <v>23</v>
      </c>
    </row>
    <row r="38" spans="4:19" x14ac:dyDescent="0.25">
      <c r="F38">
        <v>12</v>
      </c>
      <c r="H38">
        <v>748</v>
      </c>
      <c r="I38" s="1" t="s">
        <v>27</v>
      </c>
      <c r="P38" t="s">
        <v>29</v>
      </c>
    </row>
    <row r="39" spans="4:19" x14ac:dyDescent="0.25">
      <c r="F39">
        <v>13</v>
      </c>
      <c r="H39">
        <v>748</v>
      </c>
      <c r="I39">
        <v>1</v>
      </c>
      <c r="Q39" t="s">
        <v>19</v>
      </c>
      <c r="R39" t="s">
        <v>23</v>
      </c>
    </row>
    <row r="40" spans="4:19" x14ac:dyDescent="0.25">
      <c r="F40">
        <v>15</v>
      </c>
      <c r="H40">
        <v>748</v>
      </c>
      <c r="I40" s="1" t="s">
        <v>27</v>
      </c>
      <c r="P40" t="s">
        <v>49</v>
      </c>
      <c r="Q40" t="s">
        <v>25</v>
      </c>
    </row>
    <row r="41" spans="4:19" x14ac:dyDescent="0.25">
      <c r="F41">
        <v>16</v>
      </c>
      <c r="H41">
        <v>748</v>
      </c>
      <c r="I41">
        <v>1</v>
      </c>
      <c r="J41">
        <v>412</v>
      </c>
      <c r="K41" t="s">
        <v>22</v>
      </c>
      <c r="P41" t="s">
        <v>34</v>
      </c>
      <c r="Q41" t="s">
        <v>38</v>
      </c>
      <c r="R41" t="s">
        <v>23</v>
      </c>
      <c r="S41">
        <v>1</v>
      </c>
    </row>
    <row r="42" spans="4:19" x14ac:dyDescent="0.25">
      <c r="F42">
        <v>17</v>
      </c>
      <c r="H42">
        <v>748</v>
      </c>
      <c r="I42">
        <v>1</v>
      </c>
      <c r="P42" t="s">
        <v>35</v>
      </c>
      <c r="Q42" t="s">
        <v>19</v>
      </c>
      <c r="R42" t="s">
        <v>28</v>
      </c>
      <c r="S42">
        <v>1</v>
      </c>
    </row>
    <row r="43" spans="4:19" x14ac:dyDescent="0.25">
      <c r="F43">
        <v>18</v>
      </c>
      <c r="H43">
        <v>748</v>
      </c>
      <c r="I43">
        <v>1</v>
      </c>
      <c r="P43" t="s">
        <v>31</v>
      </c>
      <c r="Q43" t="s">
        <v>38</v>
      </c>
      <c r="R43" t="s">
        <v>32</v>
      </c>
    </row>
    <row r="44" spans="4:19" x14ac:dyDescent="0.25">
      <c r="F44">
        <v>19</v>
      </c>
      <c r="H44">
        <v>748</v>
      </c>
      <c r="I44">
        <v>1</v>
      </c>
      <c r="P44" t="s">
        <v>51</v>
      </c>
      <c r="Q44" t="s">
        <v>52</v>
      </c>
      <c r="R44" t="s">
        <v>23</v>
      </c>
      <c r="S44">
        <v>1</v>
      </c>
    </row>
    <row r="45" spans="4:19" x14ac:dyDescent="0.25">
      <c r="D45">
        <v>6</v>
      </c>
      <c r="E45">
        <v>80</v>
      </c>
      <c r="F45">
        <v>4</v>
      </c>
      <c r="H45">
        <v>748</v>
      </c>
      <c r="I45">
        <v>2</v>
      </c>
      <c r="Q45" t="s">
        <v>19</v>
      </c>
      <c r="R45" t="s">
        <v>23</v>
      </c>
    </row>
    <row r="46" spans="4:19" x14ac:dyDescent="0.25">
      <c r="F46">
        <v>5</v>
      </c>
      <c r="H46">
        <v>748</v>
      </c>
      <c r="I46">
        <v>1</v>
      </c>
      <c r="Q46" t="s">
        <v>25</v>
      </c>
      <c r="R46" t="s">
        <v>40</v>
      </c>
    </row>
    <row r="47" spans="4:19" x14ac:dyDescent="0.25">
      <c r="F47">
        <v>9</v>
      </c>
      <c r="H47">
        <v>748</v>
      </c>
      <c r="I47">
        <v>1</v>
      </c>
      <c r="Q47" t="s">
        <v>25</v>
      </c>
      <c r="R47" t="s">
        <v>23</v>
      </c>
    </row>
    <row r="48" spans="4:19" x14ac:dyDescent="0.25">
      <c r="F48">
        <v>13</v>
      </c>
      <c r="H48">
        <v>748</v>
      </c>
      <c r="I48">
        <v>1</v>
      </c>
      <c r="Q48" t="s">
        <v>19</v>
      </c>
      <c r="R48" t="s">
        <v>23</v>
      </c>
    </row>
    <row r="49" spans="4:19" x14ac:dyDescent="0.25">
      <c r="F49">
        <v>15</v>
      </c>
      <c r="H49">
        <v>748</v>
      </c>
      <c r="I49" s="1" t="s">
        <v>27</v>
      </c>
      <c r="P49" t="s">
        <v>29</v>
      </c>
    </row>
    <row r="50" spans="4:19" x14ac:dyDescent="0.25">
      <c r="F50">
        <v>16</v>
      </c>
      <c r="H50">
        <v>748</v>
      </c>
      <c r="I50">
        <v>1</v>
      </c>
      <c r="L50">
        <v>316</v>
      </c>
      <c r="M50" t="s">
        <v>30</v>
      </c>
      <c r="N50">
        <f>316+748-412+1</f>
        <v>653</v>
      </c>
      <c r="O50">
        <f>N50*80</f>
        <v>52240</v>
      </c>
      <c r="P50" t="s">
        <v>34</v>
      </c>
      <c r="Q50" t="s">
        <v>19</v>
      </c>
      <c r="R50" t="s">
        <v>23</v>
      </c>
    </row>
    <row r="51" spans="4:19" x14ac:dyDescent="0.25">
      <c r="F51">
        <v>17</v>
      </c>
      <c r="H51">
        <v>748</v>
      </c>
      <c r="I51">
        <v>1</v>
      </c>
      <c r="L51">
        <v>278</v>
      </c>
      <c r="M51" t="s">
        <v>30</v>
      </c>
      <c r="N51" t="s">
        <v>50</v>
      </c>
      <c r="O51" s="1" t="s">
        <v>27</v>
      </c>
      <c r="Q51" t="s">
        <v>19</v>
      </c>
      <c r="R51" t="s">
        <v>20</v>
      </c>
    </row>
    <row r="52" spans="4:19" x14ac:dyDescent="0.25">
      <c r="F52">
        <v>18</v>
      </c>
      <c r="H52">
        <v>748</v>
      </c>
      <c r="I52">
        <v>1</v>
      </c>
      <c r="Q52" t="s">
        <v>19</v>
      </c>
    </row>
    <row r="53" spans="4:19" x14ac:dyDescent="0.25">
      <c r="F53">
        <v>19</v>
      </c>
      <c r="H53">
        <v>748</v>
      </c>
      <c r="I53">
        <v>1</v>
      </c>
      <c r="L53">
        <v>156</v>
      </c>
      <c r="M53" t="s">
        <v>54</v>
      </c>
      <c r="N53" s="1" t="s">
        <v>27</v>
      </c>
      <c r="O53" s="1" t="s">
        <v>27</v>
      </c>
      <c r="P53" t="s">
        <v>56</v>
      </c>
      <c r="Q53" t="s">
        <v>53</v>
      </c>
      <c r="R53" t="s">
        <v>23</v>
      </c>
    </row>
    <row r="54" spans="4:19" x14ac:dyDescent="0.25">
      <c r="F54">
        <v>19</v>
      </c>
      <c r="H54">
        <v>748</v>
      </c>
      <c r="I54">
        <v>2</v>
      </c>
      <c r="J54">
        <v>-999</v>
      </c>
      <c r="K54" t="s">
        <v>26</v>
      </c>
      <c r="L54">
        <v>351</v>
      </c>
      <c r="M54" t="s">
        <v>24</v>
      </c>
      <c r="N54" t="s">
        <v>55</v>
      </c>
      <c r="O54" s="1" t="s">
        <v>27</v>
      </c>
      <c r="P54" t="s">
        <v>57</v>
      </c>
      <c r="Q54" t="s">
        <v>25</v>
      </c>
      <c r="R54" t="s">
        <v>23</v>
      </c>
    </row>
    <row r="55" spans="4:19" x14ac:dyDescent="0.25">
      <c r="D55">
        <v>7</v>
      </c>
      <c r="E55">
        <v>80</v>
      </c>
      <c r="F55">
        <v>4</v>
      </c>
      <c r="H55">
        <v>748</v>
      </c>
      <c r="I55">
        <v>2</v>
      </c>
      <c r="Q55" t="s">
        <v>19</v>
      </c>
      <c r="R55" t="s">
        <v>23</v>
      </c>
    </row>
    <row r="56" spans="4:19" x14ac:dyDescent="0.25">
      <c r="F56">
        <v>5</v>
      </c>
      <c r="H56">
        <v>748</v>
      </c>
      <c r="I56">
        <v>1</v>
      </c>
      <c r="Q56" t="s">
        <v>25</v>
      </c>
      <c r="R56" t="s">
        <v>20</v>
      </c>
    </row>
    <row r="57" spans="4:19" x14ac:dyDescent="0.25">
      <c r="F57">
        <v>8</v>
      </c>
      <c r="H57">
        <v>748</v>
      </c>
      <c r="I57">
        <v>2</v>
      </c>
      <c r="J57">
        <v>385</v>
      </c>
      <c r="K57" t="s">
        <v>22</v>
      </c>
      <c r="Q57" t="s">
        <v>19</v>
      </c>
      <c r="R57" t="s">
        <v>23</v>
      </c>
    </row>
    <row r="58" spans="4:19" x14ac:dyDescent="0.25">
      <c r="F58">
        <v>9</v>
      </c>
      <c r="H58">
        <v>748</v>
      </c>
      <c r="I58">
        <v>1</v>
      </c>
      <c r="Q58" t="s">
        <v>25</v>
      </c>
      <c r="R58" t="s">
        <v>23</v>
      </c>
    </row>
    <row r="59" spans="4:19" x14ac:dyDescent="0.25">
      <c r="F59">
        <v>11</v>
      </c>
      <c r="H59">
        <v>748</v>
      </c>
      <c r="I59">
        <v>1</v>
      </c>
      <c r="P59" t="s">
        <v>31</v>
      </c>
      <c r="Q59" t="s">
        <v>19</v>
      </c>
      <c r="R59" t="s">
        <v>23</v>
      </c>
    </row>
    <row r="60" spans="4:19" x14ac:dyDescent="0.25">
      <c r="F60">
        <v>13</v>
      </c>
      <c r="H60">
        <v>748</v>
      </c>
      <c r="I60">
        <v>1</v>
      </c>
      <c r="Q60" t="s">
        <v>19</v>
      </c>
      <c r="R60" t="s">
        <v>32</v>
      </c>
    </row>
    <row r="61" spans="4:19" x14ac:dyDescent="0.25">
      <c r="F61">
        <v>15</v>
      </c>
      <c r="H61">
        <v>748</v>
      </c>
      <c r="I61" s="1" t="s">
        <v>27</v>
      </c>
      <c r="P61" t="s">
        <v>29</v>
      </c>
    </row>
    <row r="62" spans="4:19" x14ac:dyDescent="0.25">
      <c r="F62">
        <v>18</v>
      </c>
      <c r="H62">
        <v>748</v>
      </c>
      <c r="I62">
        <v>1</v>
      </c>
      <c r="Q62" t="s">
        <v>19</v>
      </c>
      <c r="R62" t="s">
        <v>32</v>
      </c>
    </row>
    <row r="63" spans="4:19" x14ac:dyDescent="0.25">
      <c r="F63">
        <v>19</v>
      </c>
      <c r="H63">
        <v>748</v>
      </c>
      <c r="I63">
        <v>3</v>
      </c>
      <c r="J63">
        <v>342</v>
      </c>
      <c r="K63" t="s">
        <v>22</v>
      </c>
      <c r="P63" t="s">
        <v>57</v>
      </c>
      <c r="Q63" t="s">
        <v>19</v>
      </c>
      <c r="R63" t="s">
        <v>23</v>
      </c>
    </row>
    <row r="64" spans="4:19" x14ac:dyDescent="0.25">
      <c r="F64">
        <v>20</v>
      </c>
      <c r="H64">
        <v>748</v>
      </c>
      <c r="I64">
        <v>1</v>
      </c>
      <c r="J64">
        <v>123</v>
      </c>
      <c r="K64" t="s">
        <v>22</v>
      </c>
      <c r="Q64" t="s">
        <v>19</v>
      </c>
      <c r="R64" t="s">
        <v>23</v>
      </c>
      <c r="S64">
        <v>1</v>
      </c>
    </row>
    <row r="65" spans="4:19" x14ac:dyDescent="0.25">
      <c r="F65">
        <v>21</v>
      </c>
      <c r="H65">
        <v>748</v>
      </c>
      <c r="I65" s="1" t="s">
        <v>27</v>
      </c>
      <c r="P65" t="s">
        <v>31</v>
      </c>
    </row>
    <row r="66" spans="4:19" x14ac:dyDescent="0.25">
      <c r="D66">
        <v>8</v>
      </c>
      <c r="E66">
        <v>80</v>
      </c>
      <c r="F66">
        <v>4</v>
      </c>
      <c r="H66">
        <v>748</v>
      </c>
      <c r="I66">
        <v>2</v>
      </c>
      <c r="Q66" t="s">
        <v>19</v>
      </c>
      <c r="R66" t="s">
        <v>23</v>
      </c>
    </row>
    <row r="67" spans="4:19" x14ac:dyDescent="0.25">
      <c r="F67">
        <v>5</v>
      </c>
      <c r="H67">
        <v>748</v>
      </c>
      <c r="I67">
        <v>1</v>
      </c>
      <c r="Q67" t="s">
        <v>25</v>
      </c>
      <c r="R67" t="s">
        <v>20</v>
      </c>
    </row>
    <row r="68" spans="4:19" x14ac:dyDescent="0.25">
      <c r="F68">
        <v>9</v>
      </c>
      <c r="H68">
        <v>748</v>
      </c>
      <c r="I68">
        <v>1</v>
      </c>
      <c r="Q68" t="s">
        <v>25</v>
      </c>
      <c r="R68" t="s">
        <v>23</v>
      </c>
    </row>
    <row r="69" spans="4:19" x14ac:dyDescent="0.25">
      <c r="F69">
        <v>11</v>
      </c>
      <c r="H69">
        <v>748</v>
      </c>
      <c r="I69">
        <v>1</v>
      </c>
      <c r="Q69" t="s">
        <v>19</v>
      </c>
      <c r="R69" t="s">
        <v>23</v>
      </c>
    </row>
    <row r="70" spans="4:19" x14ac:dyDescent="0.25">
      <c r="F70">
        <v>13</v>
      </c>
      <c r="H70">
        <v>748</v>
      </c>
      <c r="I70">
        <v>1</v>
      </c>
      <c r="Q70" t="s">
        <v>19</v>
      </c>
      <c r="R70" t="s">
        <v>23</v>
      </c>
    </row>
    <row r="71" spans="4:19" x14ac:dyDescent="0.25">
      <c r="F71">
        <v>15</v>
      </c>
      <c r="H71">
        <v>748</v>
      </c>
      <c r="I71" s="1" t="s">
        <v>27</v>
      </c>
      <c r="P71" t="s">
        <v>29</v>
      </c>
    </row>
    <row r="72" spans="4:19" x14ac:dyDescent="0.25">
      <c r="F72">
        <v>18</v>
      </c>
      <c r="H72">
        <v>748</v>
      </c>
      <c r="I72">
        <v>1</v>
      </c>
      <c r="P72" t="s">
        <v>31</v>
      </c>
      <c r="Q72" t="s">
        <v>19</v>
      </c>
      <c r="R72" t="s">
        <v>32</v>
      </c>
    </row>
    <row r="73" spans="4:19" x14ac:dyDescent="0.25">
      <c r="F73">
        <v>19</v>
      </c>
      <c r="H73">
        <v>748</v>
      </c>
      <c r="I73">
        <v>3</v>
      </c>
      <c r="L73">
        <v>107</v>
      </c>
      <c r="M73" t="s">
        <v>30</v>
      </c>
      <c r="N73">
        <f>107+748-342+1</f>
        <v>514</v>
      </c>
      <c r="O73">
        <f>N73*80</f>
        <v>41120</v>
      </c>
      <c r="P73" t="s">
        <v>57</v>
      </c>
      <c r="Q73" t="s">
        <v>19</v>
      </c>
      <c r="R73" t="s">
        <v>40</v>
      </c>
    </row>
    <row r="74" spans="4:19" x14ac:dyDescent="0.25">
      <c r="F74">
        <v>20</v>
      </c>
      <c r="H74">
        <v>748</v>
      </c>
      <c r="I74">
        <v>1</v>
      </c>
      <c r="Q74" t="s">
        <v>19</v>
      </c>
      <c r="R74" t="s">
        <v>23</v>
      </c>
    </row>
    <row r="75" spans="4:19" x14ac:dyDescent="0.25">
      <c r="F75">
        <v>22</v>
      </c>
      <c r="H75">
        <v>748</v>
      </c>
      <c r="I75">
        <v>1</v>
      </c>
      <c r="J75">
        <v>310</v>
      </c>
      <c r="K75" t="s">
        <v>22</v>
      </c>
      <c r="Q75" t="s">
        <v>25</v>
      </c>
      <c r="R75" t="s">
        <v>28</v>
      </c>
      <c r="S75">
        <v>1</v>
      </c>
    </row>
    <row r="76" spans="4:19" x14ac:dyDescent="0.25">
      <c r="D76">
        <v>9</v>
      </c>
      <c r="E76">
        <v>80</v>
      </c>
      <c r="F76">
        <v>2</v>
      </c>
      <c r="H76">
        <v>748</v>
      </c>
      <c r="I76" s="1" t="s">
        <v>27</v>
      </c>
      <c r="P76" t="s">
        <v>21</v>
      </c>
    </row>
    <row r="77" spans="4:19" x14ac:dyDescent="0.25">
      <c r="F77">
        <v>4</v>
      </c>
      <c r="H77">
        <v>748</v>
      </c>
      <c r="I77">
        <v>2</v>
      </c>
      <c r="Q77" t="s">
        <v>19</v>
      </c>
      <c r="R77" t="s">
        <v>23</v>
      </c>
    </row>
    <row r="78" spans="4:19" x14ac:dyDescent="0.25">
      <c r="F78">
        <v>5</v>
      </c>
      <c r="H78">
        <v>748</v>
      </c>
      <c r="I78">
        <v>1</v>
      </c>
      <c r="Q78" t="s">
        <v>25</v>
      </c>
      <c r="R78" t="s">
        <v>23</v>
      </c>
    </row>
    <row r="79" spans="4:19" x14ac:dyDescent="0.25">
      <c r="F79">
        <v>9</v>
      </c>
      <c r="H79">
        <v>748</v>
      </c>
      <c r="I79">
        <v>1</v>
      </c>
      <c r="L79">
        <v>603</v>
      </c>
      <c r="M79" t="s">
        <v>24</v>
      </c>
      <c r="N79">
        <f>603+748*6-156+1</f>
        <v>4936</v>
      </c>
      <c r="O79">
        <f>N79*80</f>
        <v>394880</v>
      </c>
      <c r="Q79" t="s">
        <v>25</v>
      </c>
      <c r="R79" t="s">
        <v>32</v>
      </c>
    </row>
    <row r="80" spans="4:19" x14ac:dyDescent="0.25">
      <c r="F80">
        <v>11</v>
      </c>
      <c r="H80">
        <v>748</v>
      </c>
      <c r="I80">
        <v>1</v>
      </c>
      <c r="Q80" t="s">
        <v>19</v>
      </c>
      <c r="R80" t="s">
        <v>23</v>
      </c>
    </row>
    <row r="81" spans="4:19" x14ac:dyDescent="0.25">
      <c r="F81">
        <v>13</v>
      </c>
      <c r="H81">
        <v>748</v>
      </c>
      <c r="I81">
        <v>1</v>
      </c>
      <c r="Q81" t="s">
        <v>19</v>
      </c>
      <c r="R81" t="s">
        <v>23</v>
      </c>
    </row>
    <row r="82" spans="4:19" x14ac:dyDescent="0.25">
      <c r="F82">
        <v>15</v>
      </c>
      <c r="H82">
        <v>748</v>
      </c>
      <c r="I82" s="1" t="s">
        <v>27</v>
      </c>
      <c r="P82" t="s">
        <v>29</v>
      </c>
    </row>
    <row r="83" spans="4:19" x14ac:dyDescent="0.25">
      <c r="F83">
        <v>17</v>
      </c>
      <c r="H83">
        <v>748</v>
      </c>
      <c r="I83">
        <v>2</v>
      </c>
      <c r="J83">
        <v>309</v>
      </c>
      <c r="K83" t="s">
        <v>22</v>
      </c>
      <c r="L83">
        <v>692</v>
      </c>
      <c r="M83" t="s">
        <v>24</v>
      </c>
      <c r="N83">
        <f>692-309+1</f>
        <v>384</v>
      </c>
      <c r="O83">
        <f>N83*80</f>
        <v>30720</v>
      </c>
      <c r="P83" t="s">
        <v>35</v>
      </c>
      <c r="Q83" t="s">
        <v>25</v>
      </c>
      <c r="R83" t="s">
        <v>20</v>
      </c>
    </row>
    <row r="84" spans="4:19" x14ac:dyDescent="0.25">
      <c r="F84">
        <v>18</v>
      </c>
      <c r="H84">
        <v>748</v>
      </c>
      <c r="I84">
        <v>1</v>
      </c>
      <c r="L84">
        <v>178</v>
      </c>
      <c r="M84" t="s">
        <v>30</v>
      </c>
      <c r="N84">
        <f>178+748*5-598+1</f>
        <v>3321</v>
      </c>
      <c r="O84">
        <f>N84*80</f>
        <v>265680</v>
      </c>
      <c r="Q84" t="s">
        <v>19</v>
      </c>
      <c r="R84" t="s">
        <v>40</v>
      </c>
    </row>
    <row r="85" spans="4:19" x14ac:dyDescent="0.25">
      <c r="F85">
        <v>20</v>
      </c>
      <c r="H85">
        <v>748</v>
      </c>
      <c r="I85">
        <v>1</v>
      </c>
      <c r="L85">
        <v>667</v>
      </c>
      <c r="M85" t="s">
        <v>30</v>
      </c>
      <c r="N85">
        <f>667+748*2-123+1</f>
        <v>2041</v>
      </c>
      <c r="O85">
        <f>N85*80</f>
        <v>163280</v>
      </c>
      <c r="P85" t="s">
        <v>35</v>
      </c>
      <c r="Q85" t="s">
        <v>19</v>
      </c>
      <c r="R85" t="s">
        <v>23</v>
      </c>
    </row>
    <row r="86" spans="4:19" x14ac:dyDescent="0.25">
      <c r="F86">
        <v>22</v>
      </c>
      <c r="H86">
        <v>748</v>
      </c>
      <c r="I86">
        <v>1</v>
      </c>
      <c r="L86">
        <v>461</v>
      </c>
      <c r="M86" t="s">
        <v>24</v>
      </c>
      <c r="N86">
        <f>461+748*1-310+1</f>
        <v>900</v>
      </c>
      <c r="O86">
        <f>N86*80</f>
        <v>72000</v>
      </c>
      <c r="Q86" t="s">
        <v>25</v>
      </c>
      <c r="R86" t="s">
        <v>28</v>
      </c>
    </row>
    <row r="87" spans="4:19" x14ac:dyDescent="0.25">
      <c r="D87">
        <v>10</v>
      </c>
      <c r="E87">
        <v>80</v>
      </c>
      <c r="F87">
        <v>2</v>
      </c>
      <c r="H87">
        <v>748</v>
      </c>
      <c r="I87" s="1" t="s">
        <v>27</v>
      </c>
      <c r="P87" t="s">
        <v>21</v>
      </c>
    </row>
    <row r="88" spans="4:19" x14ac:dyDescent="0.25">
      <c r="F88">
        <v>4</v>
      </c>
      <c r="H88">
        <v>748</v>
      </c>
      <c r="I88">
        <v>2</v>
      </c>
      <c r="M88" s="1" t="s">
        <v>27</v>
      </c>
      <c r="N88" t="s">
        <v>58</v>
      </c>
      <c r="O88" s="1" t="s">
        <v>27</v>
      </c>
      <c r="P88" t="s">
        <v>31</v>
      </c>
      <c r="Q88" t="s">
        <v>19</v>
      </c>
      <c r="R88" t="s">
        <v>23</v>
      </c>
    </row>
    <row r="89" spans="4:19" x14ac:dyDescent="0.25">
      <c r="F89">
        <v>5</v>
      </c>
      <c r="H89">
        <v>748</v>
      </c>
      <c r="I89">
        <v>1</v>
      </c>
      <c r="Q89" t="s">
        <v>25</v>
      </c>
      <c r="R89" t="s">
        <v>23</v>
      </c>
    </row>
    <row r="90" spans="4:19" x14ac:dyDescent="0.25">
      <c r="F90">
        <v>7</v>
      </c>
      <c r="H90">
        <v>748</v>
      </c>
      <c r="I90" s="1" t="s">
        <v>27</v>
      </c>
      <c r="P90" t="s">
        <v>31</v>
      </c>
    </row>
    <row r="91" spans="4:19" x14ac:dyDescent="0.25">
      <c r="F91">
        <v>11</v>
      </c>
      <c r="H91">
        <v>748</v>
      </c>
      <c r="I91">
        <v>1</v>
      </c>
      <c r="Q91" t="s">
        <v>19</v>
      </c>
      <c r="R91" t="s">
        <v>28</v>
      </c>
    </row>
    <row r="92" spans="4:19" x14ac:dyDescent="0.25">
      <c r="F92">
        <v>13</v>
      </c>
      <c r="H92">
        <v>748</v>
      </c>
      <c r="I92">
        <v>1</v>
      </c>
      <c r="P92" t="s">
        <v>35</v>
      </c>
      <c r="Q92" t="s">
        <v>19</v>
      </c>
      <c r="R92" t="s">
        <v>23</v>
      </c>
    </row>
    <row r="93" spans="4:19" x14ac:dyDescent="0.25">
      <c r="F93">
        <v>15</v>
      </c>
      <c r="H93">
        <v>748</v>
      </c>
      <c r="I93" s="1" t="s">
        <v>27</v>
      </c>
      <c r="P93" t="s">
        <v>29</v>
      </c>
    </row>
    <row r="94" spans="4:19" x14ac:dyDescent="0.25">
      <c r="F94">
        <v>20</v>
      </c>
      <c r="H94">
        <v>748</v>
      </c>
      <c r="I94" s="1" t="s">
        <v>27</v>
      </c>
    </row>
    <row r="95" spans="4:19" x14ac:dyDescent="0.25">
      <c r="F95">
        <v>23</v>
      </c>
      <c r="H95">
        <v>748</v>
      </c>
      <c r="I95">
        <v>1</v>
      </c>
      <c r="J95">
        <v>265</v>
      </c>
      <c r="K95" t="s">
        <v>22</v>
      </c>
      <c r="L95">
        <v>466</v>
      </c>
      <c r="M95" t="s">
        <v>30</v>
      </c>
      <c r="N95">
        <f>466-265+1</f>
        <v>202</v>
      </c>
      <c r="O95">
        <f>N95*80</f>
        <v>16160</v>
      </c>
      <c r="Q95" t="s">
        <v>19</v>
      </c>
      <c r="R95" t="s">
        <v>23</v>
      </c>
      <c r="S95">
        <v>1</v>
      </c>
    </row>
    <row r="96" spans="4:19" x14ac:dyDescent="0.25">
      <c r="F96">
        <v>23</v>
      </c>
      <c r="H96">
        <v>748</v>
      </c>
      <c r="I96">
        <v>2</v>
      </c>
      <c r="J96">
        <v>699</v>
      </c>
      <c r="K96" t="s">
        <v>22</v>
      </c>
      <c r="Q96" t="s">
        <v>19</v>
      </c>
      <c r="R96" t="s">
        <v>23</v>
      </c>
    </row>
    <row r="97" spans="2:19" x14ac:dyDescent="0.25">
      <c r="D97">
        <v>11</v>
      </c>
      <c r="E97">
        <v>80</v>
      </c>
      <c r="F97">
        <v>5</v>
      </c>
      <c r="H97">
        <v>748</v>
      </c>
      <c r="I97">
        <v>1</v>
      </c>
      <c r="M97" s="1" t="s">
        <v>27</v>
      </c>
      <c r="N97" t="s">
        <v>59</v>
      </c>
      <c r="O97" s="1" t="s">
        <v>27</v>
      </c>
      <c r="Q97" t="s">
        <v>25</v>
      </c>
      <c r="R97" t="s">
        <v>23</v>
      </c>
    </row>
    <row r="98" spans="2:19" x14ac:dyDescent="0.25">
      <c r="F98">
        <v>7</v>
      </c>
      <c r="H98">
        <v>748</v>
      </c>
      <c r="I98" s="1" t="s">
        <v>27</v>
      </c>
      <c r="P98" t="s">
        <v>31</v>
      </c>
    </row>
    <row r="99" spans="2:19" x14ac:dyDescent="0.25">
      <c r="F99">
        <v>11</v>
      </c>
      <c r="H99">
        <v>748</v>
      </c>
      <c r="I99">
        <v>1</v>
      </c>
      <c r="L99">
        <v>165</v>
      </c>
      <c r="M99" t="s">
        <v>30</v>
      </c>
      <c r="N99" t="s">
        <v>60</v>
      </c>
      <c r="O99" s="1" t="s">
        <v>27</v>
      </c>
      <c r="Q99" t="s">
        <v>19</v>
      </c>
      <c r="R99" t="s">
        <v>28</v>
      </c>
    </row>
    <row r="100" spans="2:19" x14ac:dyDescent="0.25">
      <c r="F100">
        <v>13</v>
      </c>
      <c r="H100">
        <v>748</v>
      </c>
      <c r="I100">
        <v>1</v>
      </c>
      <c r="M100" s="1" t="s">
        <v>27</v>
      </c>
      <c r="N100" t="s">
        <v>61</v>
      </c>
      <c r="O100" s="1" t="s">
        <v>27</v>
      </c>
      <c r="Q100" t="s">
        <v>19</v>
      </c>
      <c r="R100" t="s">
        <v>40</v>
      </c>
    </row>
    <row r="101" spans="2:19" x14ac:dyDescent="0.25">
      <c r="F101">
        <v>23</v>
      </c>
      <c r="H101">
        <v>748</v>
      </c>
      <c r="I101">
        <v>2</v>
      </c>
      <c r="L101">
        <v>573</v>
      </c>
      <c r="M101" t="s">
        <v>30</v>
      </c>
      <c r="N101">
        <f>573+748*1-699+1</f>
        <v>623</v>
      </c>
      <c r="O101">
        <f>N101*80</f>
        <v>49840</v>
      </c>
      <c r="Q101" t="s">
        <v>19</v>
      </c>
      <c r="R101" t="s">
        <v>23</v>
      </c>
    </row>
    <row r="102" spans="2:19" x14ac:dyDescent="0.25">
      <c r="F102">
        <v>23</v>
      </c>
      <c r="H102">
        <v>748</v>
      </c>
      <c r="I102">
        <v>3</v>
      </c>
      <c r="J102">
        <v>26</v>
      </c>
      <c r="K102" t="s">
        <v>22</v>
      </c>
      <c r="L102">
        <v>524</v>
      </c>
      <c r="M102" t="s">
        <v>24</v>
      </c>
      <c r="N102">
        <f>524-26+1</f>
        <v>499</v>
      </c>
      <c r="O102">
        <f>N102*80</f>
        <v>39920</v>
      </c>
      <c r="Q102" t="s">
        <v>25</v>
      </c>
      <c r="R102" t="s">
        <v>23</v>
      </c>
    </row>
    <row r="103" spans="2:19" x14ac:dyDescent="0.25">
      <c r="B103" t="s">
        <v>62</v>
      </c>
      <c r="C103" t="s">
        <v>63</v>
      </c>
      <c r="D103">
        <v>0</v>
      </c>
      <c r="E103">
        <v>80</v>
      </c>
      <c r="F103">
        <v>1</v>
      </c>
      <c r="H103">
        <v>748</v>
      </c>
      <c r="I103" s="1" t="s">
        <v>27</v>
      </c>
      <c r="P103" t="s">
        <v>29</v>
      </c>
    </row>
    <row r="104" spans="2:19" x14ac:dyDescent="0.25">
      <c r="F104">
        <v>2</v>
      </c>
      <c r="H104">
        <v>748</v>
      </c>
      <c r="I104" s="1" t="s">
        <v>27</v>
      </c>
      <c r="P104" t="s">
        <v>29</v>
      </c>
    </row>
    <row r="105" spans="2:19" x14ac:dyDescent="0.25">
      <c r="F105">
        <v>3</v>
      </c>
      <c r="H105">
        <v>748</v>
      </c>
      <c r="I105">
        <v>1</v>
      </c>
      <c r="L105">
        <v>215</v>
      </c>
      <c r="M105" t="s">
        <v>24</v>
      </c>
      <c r="N105" t="s">
        <v>64</v>
      </c>
      <c r="O105" s="1" t="s">
        <v>27</v>
      </c>
      <c r="Q105" t="s">
        <v>25</v>
      </c>
      <c r="R105" t="s">
        <v>23</v>
      </c>
      <c r="S105">
        <v>1</v>
      </c>
    </row>
    <row r="106" spans="2:19" x14ac:dyDescent="0.25">
      <c r="F106">
        <v>4</v>
      </c>
      <c r="H106">
        <v>748</v>
      </c>
      <c r="I106">
        <v>1</v>
      </c>
      <c r="J106">
        <v>407</v>
      </c>
      <c r="K106" t="s">
        <v>22</v>
      </c>
      <c r="Q106" t="s">
        <v>19</v>
      </c>
      <c r="R106" t="s">
        <v>23</v>
      </c>
      <c r="S106">
        <v>2</v>
      </c>
    </row>
    <row r="107" spans="2:19" x14ac:dyDescent="0.25">
      <c r="D107">
        <v>1</v>
      </c>
      <c r="E107">
        <v>80</v>
      </c>
      <c r="F107">
        <v>2</v>
      </c>
      <c r="H107">
        <v>748</v>
      </c>
      <c r="I107" s="1" t="s">
        <v>27</v>
      </c>
      <c r="P107" t="s">
        <v>29</v>
      </c>
    </row>
    <row r="108" spans="2:19" x14ac:dyDescent="0.25">
      <c r="F108">
        <v>4</v>
      </c>
      <c r="H108">
        <v>748</v>
      </c>
      <c r="I108">
        <v>1</v>
      </c>
      <c r="Q108" t="s">
        <v>19</v>
      </c>
      <c r="R108" t="s">
        <v>23</v>
      </c>
    </row>
    <row r="109" spans="2:19" x14ac:dyDescent="0.25">
      <c r="F109">
        <v>5</v>
      </c>
      <c r="H109">
        <v>748</v>
      </c>
      <c r="I109">
        <v>1</v>
      </c>
      <c r="J109">
        <v>-999</v>
      </c>
      <c r="K109" t="s">
        <v>26</v>
      </c>
      <c r="Q109" t="s">
        <v>25</v>
      </c>
      <c r="R109" t="s">
        <v>32</v>
      </c>
      <c r="S109">
        <v>1</v>
      </c>
    </row>
    <row r="110" spans="2:19" x14ac:dyDescent="0.25">
      <c r="F110">
        <v>6</v>
      </c>
      <c r="H110">
        <v>748</v>
      </c>
      <c r="I110">
        <v>1</v>
      </c>
      <c r="J110">
        <v>146</v>
      </c>
      <c r="K110" t="s">
        <v>54</v>
      </c>
      <c r="L110">
        <v>369</v>
      </c>
      <c r="M110" t="s">
        <v>54</v>
      </c>
      <c r="N110">
        <f>369-146+1</f>
        <v>224</v>
      </c>
      <c r="O110">
        <f>N110*80</f>
        <v>17920</v>
      </c>
      <c r="P110" t="s">
        <v>57</v>
      </c>
      <c r="Q110" t="s">
        <v>65</v>
      </c>
      <c r="R110" t="s">
        <v>32</v>
      </c>
      <c r="S110">
        <v>1</v>
      </c>
    </row>
    <row r="111" spans="2:19" x14ac:dyDescent="0.25">
      <c r="F111">
        <v>7</v>
      </c>
      <c r="H111">
        <v>748</v>
      </c>
      <c r="I111">
        <v>1</v>
      </c>
      <c r="J111">
        <v>160</v>
      </c>
      <c r="K111" t="s">
        <v>22</v>
      </c>
      <c r="Q111" t="s">
        <v>25</v>
      </c>
      <c r="R111" t="s">
        <v>23</v>
      </c>
      <c r="S111">
        <v>3</v>
      </c>
    </row>
    <row r="112" spans="2:19" x14ac:dyDescent="0.25">
      <c r="D112">
        <v>2</v>
      </c>
      <c r="E112">
        <v>80</v>
      </c>
      <c r="F112">
        <v>2</v>
      </c>
      <c r="H112">
        <v>748</v>
      </c>
      <c r="I112" s="1" t="s">
        <v>27</v>
      </c>
      <c r="P112" t="s">
        <v>29</v>
      </c>
    </row>
    <row r="113" spans="1:19" x14ac:dyDescent="0.25">
      <c r="F113">
        <v>4</v>
      </c>
      <c r="H113">
        <v>748</v>
      </c>
      <c r="I113">
        <v>1</v>
      </c>
      <c r="L113">
        <v>151</v>
      </c>
      <c r="M113" t="s">
        <v>30</v>
      </c>
      <c r="N113">
        <f>151+748*2-407+1</f>
        <v>1241</v>
      </c>
      <c r="O113">
        <f>N113*80</f>
        <v>99280</v>
      </c>
      <c r="Q113" t="s">
        <v>19</v>
      </c>
      <c r="R113" t="s">
        <v>32</v>
      </c>
    </row>
    <row r="114" spans="1:19" x14ac:dyDescent="0.25">
      <c r="F114">
        <v>5</v>
      </c>
      <c r="H114">
        <v>748</v>
      </c>
      <c r="I114">
        <v>1</v>
      </c>
      <c r="Q114" t="s">
        <v>25</v>
      </c>
      <c r="R114" t="s">
        <v>32</v>
      </c>
    </row>
    <row r="115" spans="1:19" x14ac:dyDescent="0.25">
      <c r="F115">
        <v>7</v>
      </c>
      <c r="H115">
        <v>748</v>
      </c>
      <c r="I115">
        <v>1</v>
      </c>
      <c r="Q115" t="s">
        <v>25</v>
      </c>
      <c r="R115" t="s">
        <v>23</v>
      </c>
    </row>
    <row r="116" spans="1:19" x14ac:dyDescent="0.25">
      <c r="F116">
        <v>8</v>
      </c>
      <c r="H116">
        <v>748</v>
      </c>
      <c r="I116">
        <v>1</v>
      </c>
      <c r="J116">
        <v>160</v>
      </c>
      <c r="K116" t="s">
        <v>22</v>
      </c>
      <c r="P116" t="s">
        <v>35</v>
      </c>
      <c r="Q116" t="s">
        <v>19</v>
      </c>
      <c r="R116" t="s">
        <v>23</v>
      </c>
      <c r="S116">
        <v>1</v>
      </c>
    </row>
    <row r="117" spans="1:19" x14ac:dyDescent="0.25">
      <c r="F117">
        <v>9</v>
      </c>
      <c r="H117">
        <v>748</v>
      </c>
      <c r="I117">
        <v>1</v>
      </c>
      <c r="P117" t="s">
        <v>66</v>
      </c>
      <c r="Q117" t="s">
        <v>25</v>
      </c>
      <c r="R117" t="s">
        <v>23</v>
      </c>
      <c r="S117">
        <v>1</v>
      </c>
    </row>
    <row r="118" spans="1:19" x14ac:dyDescent="0.25">
      <c r="F118">
        <v>10</v>
      </c>
      <c r="H118">
        <v>748</v>
      </c>
      <c r="I118" s="1" t="s">
        <v>27</v>
      </c>
      <c r="P118" t="s">
        <v>29</v>
      </c>
    </row>
    <row r="119" spans="1:19" x14ac:dyDescent="0.25">
      <c r="F119">
        <v>11</v>
      </c>
      <c r="H119">
        <v>748</v>
      </c>
      <c r="I119">
        <v>1</v>
      </c>
      <c r="J119">
        <v>132</v>
      </c>
      <c r="K119" t="s">
        <v>54</v>
      </c>
      <c r="Q119" t="s">
        <v>54</v>
      </c>
      <c r="R119" t="s">
        <v>40</v>
      </c>
      <c r="S119">
        <v>1</v>
      </c>
    </row>
    <row r="120" spans="1:19" x14ac:dyDescent="0.25">
      <c r="D120">
        <v>3</v>
      </c>
      <c r="E120">
        <v>80</v>
      </c>
      <c r="F120">
        <v>2</v>
      </c>
      <c r="H120">
        <v>748</v>
      </c>
      <c r="I120" s="1" t="s">
        <v>27</v>
      </c>
      <c r="P120" t="s">
        <v>29</v>
      </c>
    </row>
    <row r="121" spans="1:19" x14ac:dyDescent="0.25">
      <c r="F121">
        <v>5</v>
      </c>
      <c r="H121">
        <v>748</v>
      </c>
      <c r="I121">
        <v>1</v>
      </c>
      <c r="Q121" t="s">
        <v>25</v>
      </c>
      <c r="R121" t="s">
        <v>32</v>
      </c>
    </row>
    <row r="122" spans="1:19" x14ac:dyDescent="0.25">
      <c r="F122">
        <v>7</v>
      </c>
      <c r="H122">
        <v>748</v>
      </c>
      <c r="I122">
        <v>1</v>
      </c>
      <c r="L122">
        <v>745</v>
      </c>
      <c r="M122" t="s">
        <v>24</v>
      </c>
      <c r="N122">
        <f>745+748*2-160+1</f>
        <v>2082</v>
      </c>
      <c r="O122">
        <f>N122*80</f>
        <v>166560</v>
      </c>
      <c r="Q122" t="s">
        <v>25</v>
      </c>
      <c r="R122" t="s">
        <v>23</v>
      </c>
    </row>
    <row r="123" spans="1:19" x14ac:dyDescent="0.25">
      <c r="F123">
        <v>8</v>
      </c>
      <c r="H123">
        <v>748</v>
      </c>
      <c r="I123">
        <v>1</v>
      </c>
      <c r="P123" t="s">
        <v>35</v>
      </c>
      <c r="Q123" t="s">
        <v>19</v>
      </c>
      <c r="R123" t="s">
        <v>28</v>
      </c>
    </row>
    <row r="124" spans="1:19" x14ac:dyDescent="0.25">
      <c r="F124">
        <v>10</v>
      </c>
      <c r="H124">
        <v>748</v>
      </c>
      <c r="I124" s="1" t="s">
        <v>27</v>
      </c>
      <c r="P124" t="s">
        <v>29</v>
      </c>
    </row>
    <row r="125" spans="1:19" x14ac:dyDescent="0.25">
      <c r="A125" t="s">
        <v>69</v>
      </c>
      <c r="F125">
        <v>11</v>
      </c>
      <c r="H125">
        <v>748</v>
      </c>
      <c r="I125">
        <v>1</v>
      </c>
      <c r="P125" t="s">
        <v>67</v>
      </c>
      <c r="Q125" t="s">
        <v>68</v>
      </c>
      <c r="R125" t="s">
        <v>32</v>
      </c>
    </row>
    <row r="126" spans="1:19" x14ac:dyDescent="0.25">
      <c r="F126">
        <v>12</v>
      </c>
      <c r="H126">
        <v>748</v>
      </c>
      <c r="I126">
        <v>1</v>
      </c>
      <c r="J126">
        <v>346</v>
      </c>
      <c r="K126" t="s">
        <v>22</v>
      </c>
      <c r="Q126" t="s">
        <v>25</v>
      </c>
      <c r="R126" t="s">
        <v>23</v>
      </c>
      <c r="S126">
        <v>1</v>
      </c>
    </row>
    <row r="127" spans="1:19" x14ac:dyDescent="0.25">
      <c r="F127">
        <v>13</v>
      </c>
      <c r="H127">
        <v>748</v>
      </c>
      <c r="I127" s="1" t="s">
        <v>27</v>
      </c>
      <c r="P127" t="s">
        <v>70</v>
      </c>
    </row>
    <row r="128" spans="1:19" x14ac:dyDescent="0.25">
      <c r="F128">
        <v>13</v>
      </c>
      <c r="H128">
        <v>748</v>
      </c>
      <c r="I128">
        <v>1</v>
      </c>
      <c r="J128">
        <v>330</v>
      </c>
      <c r="K128" t="s">
        <v>22</v>
      </c>
      <c r="Q128" t="s">
        <v>19</v>
      </c>
      <c r="R128" t="s">
        <v>23</v>
      </c>
      <c r="S128">
        <v>1</v>
      </c>
    </row>
    <row r="129" spans="4:19" x14ac:dyDescent="0.25">
      <c r="F129">
        <v>14</v>
      </c>
      <c r="H129">
        <v>748</v>
      </c>
      <c r="I129">
        <v>1</v>
      </c>
      <c r="J129">
        <v>76</v>
      </c>
      <c r="K129" t="s">
        <v>22</v>
      </c>
      <c r="L129">
        <v>217</v>
      </c>
      <c r="M129" t="s">
        <v>24</v>
      </c>
      <c r="N129">
        <f>217-76+1</f>
        <v>142</v>
      </c>
      <c r="O129">
        <f>N129*80</f>
        <v>11360</v>
      </c>
      <c r="P129" t="s">
        <v>31</v>
      </c>
      <c r="Q129" t="s">
        <v>25</v>
      </c>
      <c r="R129" t="s">
        <v>23</v>
      </c>
      <c r="S129">
        <v>1</v>
      </c>
    </row>
    <row r="130" spans="4:19" x14ac:dyDescent="0.25">
      <c r="F130">
        <v>15</v>
      </c>
      <c r="H130">
        <v>748</v>
      </c>
      <c r="I130">
        <v>1</v>
      </c>
      <c r="J130">
        <v>653</v>
      </c>
      <c r="K130" t="s">
        <v>22</v>
      </c>
      <c r="Q130" t="s">
        <v>19</v>
      </c>
      <c r="R130" t="s">
        <v>23</v>
      </c>
      <c r="S130">
        <v>1</v>
      </c>
    </row>
    <row r="131" spans="4:19" x14ac:dyDescent="0.25">
      <c r="D131">
        <v>4</v>
      </c>
      <c r="E131">
        <v>80</v>
      </c>
      <c r="F131">
        <v>2</v>
      </c>
      <c r="H131">
        <v>748</v>
      </c>
      <c r="I131" s="1" t="s">
        <v>27</v>
      </c>
      <c r="P131" t="s">
        <v>29</v>
      </c>
    </row>
    <row r="132" spans="4:19" x14ac:dyDescent="0.25">
      <c r="F132">
        <v>4</v>
      </c>
      <c r="H132">
        <v>748</v>
      </c>
      <c r="I132">
        <v>2</v>
      </c>
      <c r="J132">
        <v>674</v>
      </c>
      <c r="K132" t="s">
        <v>22</v>
      </c>
      <c r="Q132" t="s">
        <v>25</v>
      </c>
      <c r="R132" t="s">
        <v>23</v>
      </c>
    </row>
    <row r="133" spans="4:19" x14ac:dyDescent="0.25">
      <c r="F133">
        <v>5</v>
      </c>
      <c r="H133">
        <v>748</v>
      </c>
      <c r="I133">
        <v>1</v>
      </c>
      <c r="Q133" t="s">
        <v>25</v>
      </c>
      <c r="R133" t="s">
        <v>32</v>
      </c>
    </row>
    <row r="134" spans="4:19" x14ac:dyDescent="0.25">
      <c r="F134">
        <v>8</v>
      </c>
      <c r="H134">
        <v>748</v>
      </c>
      <c r="I134">
        <v>1</v>
      </c>
      <c r="P134" t="s">
        <v>35</v>
      </c>
    </row>
    <row r="135" spans="4:19" x14ac:dyDescent="0.25">
      <c r="F135">
        <v>10</v>
      </c>
      <c r="H135">
        <v>748</v>
      </c>
      <c r="I135" s="1" t="s">
        <v>27</v>
      </c>
      <c r="P135" t="s">
        <v>29</v>
      </c>
    </row>
    <row r="136" spans="4:19" x14ac:dyDescent="0.25">
      <c r="F136">
        <v>11</v>
      </c>
      <c r="H136">
        <v>748</v>
      </c>
      <c r="I136">
        <v>1</v>
      </c>
      <c r="Q136" t="s">
        <v>25</v>
      </c>
      <c r="R136" t="s">
        <v>23</v>
      </c>
    </row>
    <row r="137" spans="4:19" x14ac:dyDescent="0.25">
      <c r="F137">
        <v>12</v>
      </c>
      <c r="H137">
        <v>748</v>
      </c>
      <c r="I137">
        <v>1</v>
      </c>
      <c r="Q137" t="s">
        <v>25</v>
      </c>
      <c r="R137" t="s">
        <v>23</v>
      </c>
    </row>
    <row r="138" spans="4:19" x14ac:dyDescent="0.25">
      <c r="F138">
        <v>13</v>
      </c>
      <c r="H138">
        <v>748</v>
      </c>
      <c r="I138">
        <v>1</v>
      </c>
      <c r="P138" t="s">
        <v>35</v>
      </c>
      <c r="Q138" t="s">
        <v>19</v>
      </c>
      <c r="R138" t="s">
        <v>28</v>
      </c>
    </row>
    <row r="139" spans="4:19" x14ac:dyDescent="0.25">
      <c r="F139">
        <v>15</v>
      </c>
      <c r="H139">
        <v>748</v>
      </c>
      <c r="I139">
        <v>1</v>
      </c>
      <c r="L139">
        <v>106</v>
      </c>
      <c r="M139" t="s">
        <v>30</v>
      </c>
      <c r="N139">
        <f>106+748-653+1</f>
        <v>202</v>
      </c>
      <c r="O139">
        <f>N139*80</f>
        <v>16160</v>
      </c>
      <c r="Q139" t="s">
        <v>19</v>
      </c>
      <c r="R139" t="s">
        <v>20</v>
      </c>
    </row>
    <row r="140" spans="4:19" x14ac:dyDescent="0.25">
      <c r="F140">
        <v>16</v>
      </c>
      <c r="H140">
        <v>748</v>
      </c>
      <c r="I140" s="1" t="s">
        <v>27</v>
      </c>
      <c r="P140" t="s">
        <v>21</v>
      </c>
    </row>
    <row r="141" spans="4:19" x14ac:dyDescent="0.25">
      <c r="F141">
        <v>17</v>
      </c>
      <c r="H141">
        <v>748</v>
      </c>
      <c r="I141">
        <v>1</v>
      </c>
      <c r="J141">
        <v>680</v>
      </c>
      <c r="K141" t="s">
        <v>22</v>
      </c>
      <c r="Q141" t="s">
        <v>19</v>
      </c>
      <c r="R141" t="s">
        <v>23</v>
      </c>
    </row>
    <row r="142" spans="4:19" x14ac:dyDescent="0.25">
      <c r="D142">
        <v>5</v>
      </c>
      <c r="E142">
        <v>80</v>
      </c>
      <c r="F142">
        <v>2</v>
      </c>
      <c r="H142">
        <v>748</v>
      </c>
      <c r="I142" s="1" t="s">
        <v>27</v>
      </c>
      <c r="P142" t="s">
        <v>29</v>
      </c>
    </row>
    <row r="143" spans="4:19" x14ac:dyDescent="0.25">
      <c r="F143">
        <v>4</v>
      </c>
      <c r="H143">
        <v>748</v>
      </c>
      <c r="I143">
        <v>2</v>
      </c>
      <c r="Q143" t="s">
        <v>25</v>
      </c>
      <c r="R143" t="s">
        <v>32</v>
      </c>
    </row>
    <row r="144" spans="4:19" x14ac:dyDescent="0.25">
      <c r="F144">
        <v>5</v>
      </c>
      <c r="H144">
        <v>748</v>
      </c>
      <c r="I144">
        <v>1</v>
      </c>
      <c r="Q144" t="s">
        <v>25</v>
      </c>
      <c r="R144" t="s">
        <v>32</v>
      </c>
    </row>
    <row r="145" spans="4:19" x14ac:dyDescent="0.25">
      <c r="F145">
        <v>8</v>
      </c>
      <c r="H145">
        <v>748</v>
      </c>
      <c r="I145">
        <v>1</v>
      </c>
      <c r="P145" t="s">
        <v>71</v>
      </c>
      <c r="Q145" t="s">
        <v>25</v>
      </c>
    </row>
    <row r="146" spans="4:19" x14ac:dyDescent="0.25">
      <c r="F146">
        <v>10</v>
      </c>
      <c r="H146">
        <v>748</v>
      </c>
      <c r="I146" s="1" t="s">
        <v>27</v>
      </c>
      <c r="P146" t="s">
        <v>29</v>
      </c>
    </row>
    <row r="147" spans="4:19" x14ac:dyDescent="0.25">
      <c r="F147">
        <v>11</v>
      </c>
      <c r="H147">
        <v>748</v>
      </c>
      <c r="I147">
        <v>1</v>
      </c>
      <c r="Q147" t="s">
        <v>25</v>
      </c>
      <c r="R147" t="s">
        <v>23</v>
      </c>
    </row>
    <row r="148" spans="4:19" x14ac:dyDescent="0.25">
      <c r="F148">
        <v>12</v>
      </c>
      <c r="H148">
        <v>748</v>
      </c>
      <c r="I148">
        <v>1</v>
      </c>
      <c r="Q148" t="s">
        <v>25</v>
      </c>
      <c r="R148" t="s">
        <v>23</v>
      </c>
    </row>
    <row r="149" spans="4:19" x14ac:dyDescent="0.25">
      <c r="F149">
        <v>16</v>
      </c>
      <c r="H149">
        <v>748</v>
      </c>
      <c r="I149" s="1" t="s">
        <v>27</v>
      </c>
      <c r="P149" t="s">
        <v>21</v>
      </c>
    </row>
    <row r="150" spans="4:19" x14ac:dyDescent="0.25">
      <c r="F150">
        <v>17</v>
      </c>
      <c r="H150">
        <v>748</v>
      </c>
      <c r="I150">
        <v>1</v>
      </c>
      <c r="L150">
        <v>609</v>
      </c>
      <c r="M150" t="s">
        <v>30</v>
      </c>
      <c r="N150">
        <f>609+748-680+1</f>
        <v>678</v>
      </c>
      <c r="O150">
        <f>N150*80</f>
        <v>54240</v>
      </c>
      <c r="Q150" t="s">
        <v>19</v>
      </c>
      <c r="R150" t="s">
        <v>23</v>
      </c>
    </row>
    <row r="151" spans="4:19" x14ac:dyDescent="0.25">
      <c r="F151">
        <v>18</v>
      </c>
      <c r="H151">
        <v>748</v>
      </c>
      <c r="I151">
        <v>1</v>
      </c>
      <c r="J151">
        <v>62</v>
      </c>
      <c r="K151" t="s">
        <v>22</v>
      </c>
      <c r="Q151" t="s">
        <v>19</v>
      </c>
      <c r="R151" t="s">
        <v>23</v>
      </c>
      <c r="S151">
        <v>1</v>
      </c>
    </row>
    <row r="152" spans="4:19" x14ac:dyDescent="0.25">
      <c r="F152">
        <v>19</v>
      </c>
      <c r="H152">
        <v>748</v>
      </c>
      <c r="I152">
        <v>1</v>
      </c>
      <c r="J152">
        <v>687</v>
      </c>
      <c r="K152" t="s">
        <v>22</v>
      </c>
      <c r="Q152" t="s">
        <v>19</v>
      </c>
      <c r="R152" t="s">
        <v>23</v>
      </c>
      <c r="S152">
        <v>2</v>
      </c>
    </row>
    <row r="153" spans="4:19" x14ac:dyDescent="0.25">
      <c r="F153">
        <v>20</v>
      </c>
      <c r="H153">
        <v>748</v>
      </c>
      <c r="I153">
        <v>1</v>
      </c>
      <c r="J153">
        <v>651</v>
      </c>
      <c r="K153" t="s">
        <v>22</v>
      </c>
      <c r="Q153" t="s">
        <v>19</v>
      </c>
      <c r="R153" t="s">
        <v>23</v>
      </c>
      <c r="S153">
        <v>1</v>
      </c>
    </row>
    <row r="154" spans="4:19" x14ac:dyDescent="0.25">
      <c r="F154">
        <v>21</v>
      </c>
      <c r="H154">
        <v>748</v>
      </c>
      <c r="I154" s="1" t="s">
        <v>27</v>
      </c>
      <c r="P154" t="s">
        <v>29</v>
      </c>
    </row>
    <row r="155" spans="4:19" x14ac:dyDescent="0.25">
      <c r="D155">
        <v>6</v>
      </c>
      <c r="E155">
        <v>80</v>
      </c>
      <c r="F155">
        <v>2</v>
      </c>
      <c r="H155">
        <v>748</v>
      </c>
      <c r="I155" s="1" t="s">
        <v>27</v>
      </c>
      <c r="P155" t="s">
        <v>29</v>
      </c>
    </row>
    <row r="156" spans="4:19" x14ac:dyDescent="0.25">
      <c r="F156">
        <v>4</v>
      </c>
      <c r="H156">
        <v>748</v>
      </c>
      <c r="I156">
        <v>2</v>
      </c>
      <c r="L156">
        <v>999</v>
      </c>
      <c r="M156" t="s">
        <v>26</v>
      </c>
      <c r="N156" t="s">
        <v>75</v>
      </c>
      <c r="O156" s="1" t="s">
        <v>27</v>
      </c>
      <c r="Q156" t="s">
        <v>25</v>
      </c>
      <c r="R156" t="s">
        <v>23</v>
      </c>
    </row>
    <row r="157" spans="4:19" x14ac:dyDescent="0.25">
      <c r="F157">
        <v>5</v>
      </c>
      <c r="H157">
        <v>748</v>
      </c>
      <c r="I157">
        <v>1</v>
      </c>
      <c r="Q157" t="s">
        <v>25</v>
      </c>
      <c r="R157" t="s">
        <v>32</v>
      </c>
    </row>
    <row r="158" spans="4:19" x14ac:dyDescent="0.25">
      <c r="F158">
        <v>8</v>
      </c>
      <c r="H158">
        <v>748</v>
      </c>
      <c r="I158">
        <v>1</v>
      </c>
      <c r="P158" t="s">
        <v>35</v>
      </c>
      <c r="Q158" t="s">
        <v>25</v>
      </c>
      <c r="R158" t="s">
        <v>28</v>
      </c>
    </row>
    <row r="159" spans="4:19" x14ac:dyDescent="0.25">
      <c r="F159">
        <v>10</v>
      </c>
      <c r="H159">
        <v>748</v>
      </c>
      <c r="I159" s="1" t="s">
        <v>27</v>
      </c>
      <c r="P159" t="s">
        <v>29</v>
      </c>
    </row>
    <row r="160" spans="4:19" x14ac:dyDescent="0.25">
      <c r="F160">
        <v>11</v>
      </c>
      <c r="H160">
        <v>748</v>
      </c>
      <c r="I160">
        <v>1</v>
      </c>
      <c r="P160" t="s">
        <v>31</v>
      </c>
      <c r="Q160" t="s">
        <v>25</v>
      </c>
      <c r="R160" t="s">
        <v>23</v>
      </c>
    </row>
    <row r="161" spans="1:19" x14ac:dyDescent="0.25">
      <c r="F161">
        <v>12</v>
      </c>
      <c r="H161">
        <v>748</v>
      </c>
      <c r="I161">
        <v>1</v>
      </c>
      <c r="Q161" t="s">
        <v>25</v>
      </c>
      <c r="R161" t="s">
        <v>32</v>
      </c>
    </row>
    <row r="162" spans="1:19" x14ac:dyDescent="0.25">
      <c r="F162">
        <v>16</v>
      </c>
      <c r="H162">
        <v>748</v>
      </c>
      <c r="I162" s="1" t="s">
        <v>27</v>
      </c>
      <c r="P162" t="s">
        <v>21</v>
      </c>
    </row>
    <row r="163" spans="1:19" x14ac:dyDescent="0.25">
      <c r="A163" t="s">
        <v>72</v>
      </c>
      <c r="F163">
        <v>18</v>
      </c>
      <c r="H163">
        <v>748</v>
      </c>
      <c r="I163">
        <v>1</v>
      </c>
      <c r="L163">
        <v>676</v>
      </c>
      <c r="M163" t="s">
        <v>30</v>
      </c>
      <c r="N163">
        <f>676+748*1-62+1</f>
        <v>1363</v>
      </c>
      <c r="O163">
        <f>N163*80</f>
        <v>109040</v>
      </c>
      <c r="P163" t="s">
        <v>73</v>
      </c>
      <c r="Q163" t="s">
        <v>74</v>
      </c>
      <c r="R163" t="s">
        <v>23</v>
      </c>
    </row>
    <row r="164" spans="1:19" x14ac:dyDescent="0.25">
      <c r="F164">
        <v>19</v>
      </c>
      <c r="H164">
        <v>748</v>
      </c>
      <c r="I164">
        <v>1</v>
      </c>
      <c r="L164">
        <v>83</v>
      </c>
      <c r="M164" t="s">
        <v>30</v>
      </c>
      <c r="N164">
        <f>83+748*1-687+1</f>
        <v>145</v>
      </c>
      <c r="O164">
        <f>N164*80</f>
        <v>11600</v>
      </c>
      <c r="Q164" t="s">
        <v>19</v>
      </c>
      <c r="R164" t="s">
        <v>23</v>
      </c>
    </row>
    <row r="165" spans="1:19" x14ac:dyDescent="0.25">
      <c r="F165">
        <v>19</v>
      </c>
      <c r="H165">
        <v>748</v>
      </c>
      <c r="I165">
        <v>2</v>
      </c>
      <c r="J165">
        <v>616</v>
      </c>
      <c r="K165" t="s">
        <v>22</v>
      </c>
      <c r="L165">
        <v>741</v>
      </c>
      <c r="M165" t="s">
        <v>24</v>
      </c>
      <c r="N165">
        <f>741-616+1</f>
        <v>126</v>
      </c>
      <c r="O165">
        <f>N165*80</f>
        <v>10080</v>
      </c>
      <c r="Q165" t="s">
        <v>25</v>
      </c>
      <c r="R165" t="s">
        <v>23</v>
      </c>
    </row>
    <row r="166" spans="1:19" x14ac:dyDescent="0.25">
      <c r="F166">
        <v>20</v>
      </c>
      <c r="H166">
        <v>748</v>
      </c>
      <c r="I166">
        <v>1</v>
      </c>
      <c r="Q166" t="s">
        <v>19</v>
      </c>
      <c r="R166" t="s">
        <v>20</v>
      </c>
    </row>
    <row r="167" spans="1:19" x14ac:dyDescent="0.25">
      <c r="F167">
        <v>21</v>
      </c>
      <c r="H167">
        <v>748</v>
      </c>
      <c r="I167" s="1" t="s">
        <v>27</v>
      </c>
      <c r="P167" t="s">
        <v>29</v>
      </c>
    </row>
    <row r="168" spans="1:19" x14ac:dyDescent="0.25">
      <c r="F168">
        <v>22</v>
      </c>
      <c r="H168">
        <v>748</v>
      </c>
      <c r="I168">
        <v>1</v>
      </c>
      <c r="J168">
        <v>361</v>
      </c>
      <c r="K168" t="s">
        <v>22</v>
      </c>
      <c r="L168">
        <v>555</v>
      </c>
      <c r="M168" t="s">
        <v>30</v>
      </c>
      <c r="N168">
        <f>555-361+1</f>
        <v>195</v>
      </c>
      <c r="O168">
        <f>N168*80</f>
        <v>15600</v>
      </c>
      <c r="Q168" t="s">
        <v>19</v>
      </c>
      <c r="R168" t="s">
        <v>23</v>
      </c>
      <c r="S168">
        <v>1</v>
      </c>
    </row>
    <row r="169" spans="1:19" x14ac:dyDescent="0.25">
      <c r="D169">
        <v>7</v>
      </c>
      <c r="E169">
        <v>80</v>
      </c>
      <c r="F169">
        <v>2</v>
      </c>
      <c r="H169">
        <v>748</v>
      </c>
      <c r="I169" s="1" t="s">
        <v>27</v>
      </c>
      <c r="P169" t="s">
        <v>29</v>
      </c>
    </row>
    <row r="170" spans="1:19" x14ac:dyDescent="0.25">
      <c r="F170">
        <v>5</v>
      </c>
      <c r="H170">
        <v>748</v>
      </c>
      <c r="I170">
        <v>1</v>
      </c>
      <c r="Q170" t="s">
        <v>25</v>
      </c>
      <c r="R170" t="s">
        <v>32</v>
      </c>
    </row>
    <row r="171" spans="1:19" x14ac:dyDescent="0.25">
      <c r="F171">
        <v>8</v>
      </c>
      <c r="H171">
        <v>748</v>
      </c>
      <c r="I171">
        <v>1</v>
      </c>
      <c r="Q171" t="s">
        <v>25</v>
      </c>
      <c r="R171" t="s">
        <v>32</v>
      </c>
    </row>
    <row r="172" spans="1:19" x14ac:dyDescent="0.25">
      <c r="F172">
        <v>10</v>
      </c>
      <c r="H172">
        <v>748</v>
      </c>
      <c r="I172" s="1" t="s">
        <v>27</v>
      </c>
      <c r="P172" t="s">
        <v>29</v>
      </c>
    </row>
    <row r="173" spans="1:19" x14ac:dyDescent="0.25">
      <c r="F173">
        <v>12</v>
      </c>
      <c r="H173">
        <v>748</v>
      </c>
      <c r="I173">
        <v>1</v>
      </c>
      <c r="Q173" t="s">
        <v>25</v>
      </c>
      <c r="R173" t="s">
        <v>32</v>
      </c>
    </row>
    <row r="174" spans="1:19" x14ac:dyDescent="0.25">
      <c r="F174">
        <v>20</v>
      </c>
      <c r="H174">
        <v>748</v>
      </c>
      <c r="I174">
        <v>1</v>
      </c>
      <c r="Q174" t="s">
        <v>19</v>
      </c>
      <c r="R174" t="s">
        <v>20</v>
      </c>
    </row>
    <row r="175" spans="1:19" x14ac:dyDescent="0.25">
      <c r="F175">
        <v>21</v>
      </c>
      <c r="H175">
        <v>748</v>
      </c>
      <c r="I175" s="1" t="s">
        <v>27</v>
      </c>
      <c r="P175" t="s">
        <v>29</v>
      </c>
    </row>
    <row r="176" spans="1:19" x14ac:dyDescent="0.25">
      <c r="F176">
        <v>23</v>
      </c>
      <c r="H176">
        <v>748</v>
      </c>
      <c r="I176">
        <v>1</v>
      </c>
      <c r="J176">
        <v>79</v>
      </c>
      <c r="K176" t="s">
        <v>22</v>
      </c>
      <c r="Q176" t="s">
        <v>19</v>
      </c>
      <c r="R176" t="s">
        <v>23</v>
      </c>
    </row>
    <row r="177" spans="4:19" x14ac:dyDescent="0.25">
      <c r="D177">
        <v>8</v>
      </c>
      <c r="E177">
        <v>80</v>
      </c>
      <c r="F177">
        <v>4</v>
      </c>
      <c r="H177">
        <v>748</v>
      </c>
      <c r="I177">
        <v>3</v>
      </c>
      <c r="J177">
        <v>151</v>
      </c>
      <c r="K177" t="s">
        <v>22</v>
      </c>
      <c r="Q177" t="s">
        <v>25</v>
      </c>
      <c r="R177" t="s">
        <v>23</v>
      </c>
    </row>
    <row r="178" spans="4:19" x14ac:dyDescent="0.25">
      <c r="F178">
        <v>5</v>
      </c>
      <c r="H178">
        <v>748</v>
      </c>
      <c r="I178">
        <v>1</v>
      </c>
      <c r="Q178" t="s">
        <v>25</v>
      </c>
      <c r="R178" t="s">
        <v>32</v>
      </c>
    </row>
    <row r="179" spans="4:19" x14ac:dyDescent="0.25">
      <c r="F179">
        <v>10</v>
      </c>
      <c r="H179">
        <v>748</v>
      </c>
      <c r="I179" s="1" t="s">
        <v>27</v>
      </c>
      <c r="P179" t="s">
        <v>29</v>
      </c>
    </row>
    <row r="180" spans="4:19" x14ac:dyDescent="0.25">
      <c r="F180">
        <v>12</v>
      </c>
      <c r="H180">
        <v>748</v>
      </c>
      <c r="I180">
        <v>1</v>
      </c>
      <c r="Q180" t="s">
        <v>25</v>
      </c>
      <c r="R180" t="s">
        <v>32</v>
      </c>
    </row>
    <row r="181" spans="4:19" x14ac:dyDescent="0.25">
      <c r="F181">
        <v>19</v>
      </c>
      <c r="H181">
        <v>748</v>
      </c>
      <c r="I181" s="1" t="s">
        <v>27</v>
      </c>
      <c r="P181" t="s">
        <v>76</v>
      </c>
    </row>
    <row r="182" spans="4:19" x14ac:dyDescent="0.25">
      <c r="F182">
        <v>20</v>
      </c>
      <c r="H182">
        <v>748</v>
      </c>
      <c r="I182">
        <v>1</v>
      </c>
      <c r="Q182" t="s">
        <v>19</v>
      </c>
      <c r="R182" t="s">
        <v>23</v>
      </c>
    </row>
    <row r="183" spans="4:19" x14ac:dyDescent="0.25">
      <c r="F183">
        <v>21</v>
      </c>
      <c r="H183">
        <v>748</v>
      </c>
      <c r="I183" s="1" t="s">
        <v>27</v>
      </c>
      <c r="P183" t="s">
        <v>29</v>
      </c>
    </row>
    <row r="184" spans="4:19" x14ac:dyDescent="0.25">
      <c r="F184">
        <v>23</v>
      </c>
      <c r="H184">
        <v>748</v>
      </c>
      <c r="I184">
        <v>1</v>
      </c>
      <c r="L184">
        <v>386</v>
      </c>
      <c r="M184" t="s">
        <v>30</v>
      </c>
      <c r="N184">
        <f>386+748*1-79+1</f>
        <v>1056</v>
      </c>
      <c r="O184">
        <f>N184*80</f>
        <v>84480</v>
      </c>
      <c r="Q184" t="s">
        <v>19</v>
      </c>
      <c r="R184" t="s">
        <v>20</v>
      </c>
    </row>
    <row r="185" spans="4:19" x14ac:dyDescent="0.25">
      <c r="D185">
        <v>9</v>
      </c>
      <c r="E185">
        <v>80</v>
      </c>
      <c r="F185">
        <v>4</v>
      </c>
      <c r="H185">
        <v>748</v>
      </c>
      <c r="I185">
        <v>3</v>
      </c>
      <c r="Q185" t="s">
        <v>25</v>
      </c>
      <c r="R185" t="s">
        <v>23</v>
      </c>
    </row>
    <row r="186" spans="4:19" x14ac:dyDescent="0.25">
      <c r="F186">
        <v>5</v>
      </c>
      <c r="H186">
        <v>748</v>
      </c>
      <c r="I186">
        <v>1</v>
      </c>
      <c r="Q186" t="s">
        <v>25</v>
      </c>
      <c r="R186" t="s">
        <v>32</v>
      </c>
    </row>
    <row r="187" spans="4:19" x14ac:dyDescent="0.25">
      <c r="F187">
        <v>10</v>
      </c>
      <c r="H187">
        <v>748</v>
      </c>
      <c r="I187" s="1" t="s">
        <v>27</v>
      </c>
      <c r="P187" t="s">
        <v>29</v>
      </c>
    </row>
    <row r="188" spans="4:19" x14ac:dyDescent="0.25">
      <c r="F188">
        <v>12</v>
      </c>
      <c r="H188">
        <v>748</v>
      </c>
      <c r="I188">
        <v>1</v>
      </c>
      <c r="Q188" t="s">
        <v>25</v>
      </c>
      <c r="R188" t="s">
        <v>20</v>
      </c>
    </row>
    <row r="189" spans="4:19" x14ac:dyDescent="0.25">
      <c r="F189">
        <v>19</v>
      </c>
      <c r="H189">
        <v>748</v>
      </c>
      <c r="I189">
        <v>3</v>
      </c>
      <c r="J189">
        <v>461</v>
      </c>
      <c r="K189" t="s">
        <v>54</v>
      </c>
      <c r="Q189" t="s">
        <v>54</v>
      </c>
      <c r="R189" t="s">
        <v>32</v>
      </c>
    </row>
    <row r="190" spans="4:19" x14ac:dyDescent="0.25">
      <c r="F190">
        <v>20</v>
      </c>
      <c r="H190">
        <v>748</v>
      </c>
      <c r="I190">
        <v>1</v>
      </c>
      <c r="L190">
        <v>689</v>
      </c>
      <c r="M190" t="s">
        <v>30</v>
      </c>
      <c r="N190">
        <f>689+748*4-651+1</f>
        <v>3031</v>
      </c>
      <c r="O190">
        <f>N190*80</f>
        <v>242480</v>
      </c>
      <c r="Q190" t="s">
        <v>19</v>
      </c>
      <c r="R190" t="s">
        <v>20</v>
      </c>
    </row>
    <row r="191" spans="4:19" x14ac:dyDescent="0.25">
      <c r="F191">
        <v>21</v>
      </c>
      <c r="H191">
        <v>748</v>
      </c>
      <c r="I191" s="1" t="s">
        <v>27</v>
      </c>
      <c r="P191" t="s">
        <v>29</v>
      </c>
    </row>
    <row r="192" spans="4:19" x14ac:dyDescent="0.25">
      <c r="F192">
        <v>24</v>
      </c>
      <c r="H192">
        <v>748</v>
      </c>
      <c r="I192">
        <v>1</v>
      </c>
      <c r="P192" t="s">
        <v>31</v>
      </c>
      <c r="Q192" t="s">
        <v>19</v>
      </c>
      <c r="S192">
        <v>1</v>
      </c>
    </row>
    <row r="193" spans="1:19" x14ac:dyDescent="0.25">
      <c r="F193">
        <v>25</v>
      </c>
      <c r="H193">
        <v>748</v>
      </c>
      <c r="I193">
        <v>1</v>
      </c>
      <c r="J193">
        <v>711</v>
      </c>
      <c r="K193" t="s">
        <v>22</v>
      </c>
      <c r="P193" t="s">
        <v>31</v>
      </c>
      <c r="Q193" t="s">
        <v>25</v>
      </c>
      <c r="R193" t="s">
        <v>20</v>
      </c>
      <c r="S193">
        <v>1</v>
      </c>
    </row>
    <row r="194" spans="1:19" x14ac:dyDescent="0.25">
      <c r="D194">
        <v>10</v>
      </c>
      <c r="E194">
        <v>80</v>
      </c>
      <c r="F194">
        <v>4</v>
      </c>
      <c r="H194">
        <v>748</v>
      </c>
      <c r="I194">
        <v>3</v>
      </c>
      <c r="Q194" t="s">
        <v>25</v>
      </c>
      <c r="R194" t="s">
        <v>32</v>
      </c>
    </row>
    <row r="195" spans="1:19" x14ac:dyDescent="0.25">
      <c r="F195">
        <v>5</v>
      </c>
      <c r="H195">
        <v>748</v>
      </c>
      <c r="I195">
        <v>1</v>
      </c>
      <c r="Q195" t="s">
        <v>25</v>
      </c>
      <c r="R195" t="s">
        <v>32</v>
      </c>
    </row>
    <row r="196" spans="1:19" x14ac:dyDescent="0.25">
      <c r="F196">
        <v>10</v>
      </c>
      <c r="H196">
        <v>748</v>
      </c>
      <c r="I196" s="1" t="s">
        <v>27</v>
      </c>
      <c r="P196" t="s">
        <v>29</v>
      </c>
    </row>
    <row r="197" spans="1:19" x14ac:dyDescent="0.25">
      <c r="F197">
        <v>12</v>
      </c>
      <c r="H197">
        <v>748</v>
      </c>
      <c r="I197">
        <v>1</v>
      </c>
      <c r="Q197" t="s">
        <v>25</v>
      </c>
      <c r="R197" t="s">
        <v>23</v>
      </c>
    </row>
    <row r="198" spans="1:19" x14ac:dyDescent="0.25">
      <c r="A198" t="s">
        <v>77</v>
      </c>
      <c r="F198">
        <v>19</v>
      </c>
      <c r="H198">
        <v>748</v>
      </c>
      <c r="I198">
        <v>3</v>
      </c>
      <c r="L198">
        <v>540</v>
      </c>
      <c r="M198" t="s">
        <v>54</v>
      </c>
      <c r="N198">
        <f>540+748-461+1</f>
        <v>828</v>
      </c>
      <c r="O198">
        <f>N198*80</f>
        <v>66240</v>
      </c>
      <c r="Q198" t="s">
        <v>54</v>
      </c>
      <c r="R198" t="s">
        <v>23</v>
      </c>
    </row>
    <row r="199" spans="1:19" x14ac:dyDescent="0.25">
      <c r="F199">
        <v>19</v>
      </c>
      <c r="H199">
        <v>748</v>
      </c>
      <c r="I199">
        <v>4</v>
      </c>
      <c r="J199">
        <v>317</v>
      </c>
      <c r="K199" t="s">
        <v>22</v>
      </c>
      <c r="L199">
        <v>665</v>
      </c>
      <c r="M199" t="s">
        <v>24</v>
      </c>
      <c r="N199">
        <f>665-317+1</f>
        <v>349</v>
      </c>
      <c r="O199">
        <f>N199*80</f>
        <v>27920</v>
      </c>
      <c r="Q199" t="s">
        <v>25</v>
      </c>
      <c r="R199" t="s">
        <v>28</v>
      </c>
    </row>
    <row r="200" spans="1:19" x14ac:dyDescent="0.25">
      <c r="F200">
        <v>21</v>
      </c>
      <c r="H200">
        <v>748</v>
      </c>
      <c r="I200" s="1" t="s">
        <v>27</v>
      </c>
      <c r="P200" t="s">
        <v>29</v>
      </c>
    </row>
    <row r="201" spans="1:19" x14ac:dyDescent="0.25">
      <c r="F201">
        <v>24</v>
      </c>
      <c r="H201">
        <v>748</v>
      </c>
      <c r="I201">
        <v>1</v>
      </c>
      <c r="P201" t="s">
        <v>31</v>
      </c>
      <c r="Q201" t="s">
        <v>19</v>
      </c>
      <c r="R201" t="s">
        <v>23</v>
      </c>
    </row>
    <row r="202" spans="1:19" x14ac:dyDescent="0.25">
      <c r="F202">
        <v>25</v>
      </c>
      <c r="H202">
        <v>748</v>
      </c>
      <c r="I202">
        <v>1</v>
      </c>
      <c r="Q202" t="s">
        <v>38</v>
      </c>
      <c r="R202" t="s">
        <v>20</v>
      </c>
    </row>
    <row r="203" spans="1:19" x14ac:dyDescent="0.25">
      <c r="F203">
        <v>26</v>
      </c>
      <c r="H203">
        <v>748</v>
      </c>
      <c r="I203" s="1" t="s">
        <v>27</v>
      </c>
      <c r="P203" t="s">
        <v>29</v>
      </c>
    </row>
    <row r="204" spans="1:19" x14ac:dyDescent="0.25">
      <c r="D204">
        <v>11</v>
      </c>
      <c r="E204">
        <v>80</v>
      </c>
      <c r="F204">
        <v>4</v>
      </c>
      <c r="H204">
        <v>748</v>
      </c>
      <c r="I204">
        <v>3</v>
      </c>
      <c r="Q204" t="s">
        <v>38</v>
      </c>
      <c r="R204" t="s">
        <v>32</v>
      </c>
    </row>
    <row r="205" spans="1:19" x14ac:dyDescent="0.25">
      <c r="F205">
        <v>4</v>
      </c>
      <c r="H205">
        <v>748</v>
      </c>
      <c r="I205">
        <v>4</v>
      </c>
      <c r="J205">
        <v>-999</v>
      </c>
      <c r="K205" t="s">
        <v>26</v>
      </c>
      <c r="P205" t="s">
        <v>78</v>
      </c>
      <c r="Q205" t="s">
        <v>38</v>
      </c>
      <c r="R205" t="s">
        <v>32</v>
      </c>
    </row>
    <row r="206" spans="1:19" x14ac:dyDescent="0.25">
      <c r="F206">
        <v>5</v>
      </c>
      <c r="H206">
        <v>748</v>
      </c>
      <c r="I206">
        <v>1</v>
      </c>
      <c r="M206" s="1" t="s">
        <v>27</v>
      </c>
      <c r="N206" t="s">
        <v>79</v>
      </c>
      <c r="O206" s="1" t="s">
        <v>27</v>
      </c>
      <c r="Q206" t="s">
        <v>25</v>
      </c>
      <c r="R206" t="s">
        <v>32</v>
      </c>
    </row>
    <row r="207" spans="1:19" x14ac:dyDescent="0.25">
      <c r="F207">
        <v>10</v>
      </c>
      <c r="H207">
        <v>748</v>
      </c>
      <c r="I207" s="1" t="s">
        <v>27</v>
      </c>
      <c r="P207" t="s">
        <v>29</v>
      </c>
    </row>
    <row r="208" spans="1:19" x14ac:dyDescent="0.25">
      <c r="F208">
        <v>12</v>
      </c>
      <c r="H208">
        <v>748</v>
      </c>
      <c r="I208">
        <v>1</v>
      </c>
      <c r="M208" s="1" t="s">
        <v>27</v>
      </c>
      <c r="N208" t="s">
        <v>80</v>
      </c>
      <c r="O208" s="1" t="s">
        <v>27</v>
      </c>
      <c r="Q208" t="s">
        <v>25</v>
      </c>
      <c r="R208" t="s">
        <v>20</v>
      </c>
    </row>
    <row r="209" spans="2:19" x14ac:dyDescent="0.25">
      <c r="F209">
        <v>15</v>
      </c>
      <c r="H209">
        <v>748</v>
      </c>
      <c r="I209">
        <v>2</v>
      </c>
      <c r="J209">
        <v>383</v>
      </c>
      <c r="K209" t="s">
        <v>22</v>
      </c>
      <c r="M209" s="1" t="s">
        <v>27</v>
      </c>
      <c r="N209" t="s">
        <v>81</v>
      </c>
      <c r="O209" s="1" t="s">
        <v>27</v>
      </c>
      <c r="Q209" t="s">
        <v>25</v>
      </c>
      <c r="R209" t="s">
        <v>20</v>
      </c>
    </row>
    <row r="210" spans="2:19" x14ac:dyDescent="0.25">
      <c r="F210">
        <v>18</v>
      </c>
      <c r="H210">
        <v>748</v>
      </c>
      <c r="I210">
        <v>2</v>
      </c>
      <c r="J210">
        <v>596</v>
      </c>
      <c r="K210" s="1" t="s">
        <v>27</v>
      </c>
      <c r="P210" t="s">
        <v>82</v>
      </c>
    </row>
    <row r="211" spans="2:19" x14ac:dyDescent="0.25">
      <c r="F211">
        <v>19</v>
      </c>
      <c r="H211">
        <v>748</v>
      </c>
      <c r="I211">
        <v>5</v>
      </c>
      <c r="J211">
        <v>160</v>
      </c>
      <c r="K211" t="s">
        <v>22</v>
      </c>
      <c r="L211">
        <v>522</v>
      </c>
      <c r="M211" t="s">
        <v>30</v>
      </c>
      <c r="N211">
        <f>522-160+1</f>
        <v>363</v>
      </c>
      <c r="O211">
        <f>N211*80</f>
        <v>29040</v>
      </c>
      <c r="Q211" t="s">
        <v>19</v>
      </c>
      <c r="R211" t="s">
        <v>23</v>
      </c>
    </row>
    <row r="212" spans="2:19" x14ac:dyDescent="0.25">
      <c r="F212">
        <v>21</v>
      </c>
      <c r="H212">
        <v>748</v>
      </c>
      <c r="I212" s="1" t="s">
        <v>27</v>
      </c>
      <c r="P212" t="s">
        <v>29</v>
      </c>
    </row>
    <row r="213" spans="2:19" x14ac:dyDescent="0.25">
      <c r="F213">
        <v>24</v>
      </c>
      <c r="H213">
        <v>748</v>
      </c>
      <c r="I213">
        <v>1</v>
      </c>
      <c r="P213" t="s">
        <v>31</v>
      </c>
      <c r="Q213" t="s">
        <v>19</v>
      </c>
    </row>
    <row r="214" spans="2:19" x14ac:dyDescent="0.25">
      <c r="F214">
        <v>25</v>
      </c>
      <c r="H214">
        <v>748</v>
      </c>
      <c r="I214">
        <v>1</v>
      </c>
      <c r="L214">
        <v>234</v>
      </c>
      <c r="M214" t="s">
        <v>24</v>
      </c>
      <c r="N214">
        <f>234+748*2-711+1</f>
        <v>1020</v>
      </c>
      <c r="O214">
        <f>N214*80</f>
        <v>81600</v>
      </c>
      <c r="Q214" t="s">
        <v>38</v>
      </c>
    </row>
    <row r="215" spans="2:19" x14ac:dyDescent="0.25">
      <c r="B215" t="s">
        <v>83</v>
      </c>
      <c r="C215" t="s">
        <v>84</v>
      </c>
      <c r="D215">
        <v>0</v>
      </c>
      <c r="E215">
        <v>80</v>
      </c>
      <c r="F215">
        <v>1</v>
      </c>
      <c r="H215">
        <v>748</v>
      </c>
      <c r="I215">
        <v>1</v>
      </c>
      <c r="Q215" t="s">
        <v>25</v>
      </c>
      <c r="R215" t="s">
        <v>20</v>
      </c>
      <c r="S215">
        <v>1</v>
      </c>
    </row>
    <row r="216" spans="2:19" x14ac:dyDescent="0.25">
      <c r="F216">
        <v>2</v>
      </c>
      <c r="H216">
        <v>748</v>
      </c>
      <c r="I216" s="1" t="s">
        <v>27</v>
      </c>
      <c r="P216" t="s">
        <v>57</v>
      </c>
    </row>
    <row r="217" spans="2:19" x14ac:dyDescent="0.25">
      <c r="D217">
        <v>1</v>
      </c>
      <c r="E217">
        <v>80</v>
      </c>
      <c r="F217">
        <v>1</v>
      </c>
      <c r="H217">
        <v>748</v>
      </c>
      <c r="I217">
        <v>1</v>
      </c>
      <c r="Q217" t="s">
        <v>25</v>
      </c>
      <c r="R217" t="s">
        <v>23</v>
      </c>
    </row>
    <row r="218" spans="2:19" x14ac:dyDescent="0.25">
      <c r="F218">
        <v>2</v>
      </c>
      <c r="H218">
        <v>748</v>
      </c>
      <c r="I218" s="1" t="s">
        <v>27</v>
      </c>
      <c r="P218" t="s">
        <v>57</v>
      </c>
    </row>
    <row r="219" spans="2:19" x14ac:dyDescent="0.25">
      <c r="F219">
        <v>3</v>
      </c>
      <c r="H219">
        <v>748</v>
      </c>
      <c r="I219">
        <v>1</v>
      </c>
      <c r="J219">
        <v>579</v>
      </c>
      <c r="K219" t="s">
        <v>22</v>
      </c>
      <c r="Q219" t="s">
        <v>25</v>
      </c>
      <c r="R219" t="s">
        <v>20</v>
      </c>
      <c r="S219">
        <v>1</v>
      </c>
    </row>
    <row r="220" spans="2:19" x14ac:dyDescent="0.25">
      <c r="D220">
        <v>2</v>
      </c>
      <c r="E220">
        <v>80</v>
      </c>
      <c r="F220">
        <v>1</v>
      </c>
      <c r="H220">
        <v>748</v>
      </c>
      <c r="I220">
        <v>1</v>
      </c>
      <c r="L220">
        <v>124</v>
      </c>
      <c r="M220" t="s">
        <v>24</v>
      </c>
      <c r="N220" t="s">
        <v>85</v>
      </c>
      <c r="O220" s="1" t="s">
        <v>27</v>
      </c>
      <c r="Q220" t="s">
        <v>25</v>
      </c>
      <c r="R220" t="s">
        <v>23</v>
      </c>
    </row>
    <row r="221" spans="2:19" x14ac:dyDescent="0.25">
      <c r="F221">
        <v>2</v>
      </c>
      <c r="H221">
        <v>748</v>
      </c>
      <c r="I221" s="1" t="s">
        <v>27</v>
      </c>
      <c r="P221" t="s">
        <v>57</v>
      </c>
    </row>
    <row r="222" spans="2:19" x14ac:dyDescent="0.25">
      <c r="F222">
        <v>3</v>
      </c>
      <c r="H222">
        <v>748</v>
      </c>
      <c r="I222">
        <v>1</v>
      </c>
      <c r="P222" t="s">
        <v>31</v>
      </c>
      <c r="Q222" t="s">
        <v>25</v>
      </c>
      <c r="R222" t="s">
        <v>23</v>
      </c>
    </row>
    <row r="223" spans="2:19" x14ac:dyDescent="0.25">
      <c r="F223">
        <v>4</v>
      </c>
      <c r="H223">
        <v>748</v>
      </c>
      <c r="I223">
        <v>1</v>
      </c>
      <c r="J223">
        <v>123</v>
      </c>
      <c r="K223" t="s">
        <v>22</v>
      </c>
      <c r="L223">
        <v>342</v>
      </c>
      <c r="M223" t="s">
        <v>30</v>
      </c>
      <c r="N223">
        <f>342-123+1</f>
        <v>220</v>
      </c>
      <c r="O223">
        <f>N223*80</f>
        <v>17600</v>
      </c>
      <c r="P223" t="s">
        <v>86</v>
      </c>
      <c r="Q223" t="s">
        <v>43</v>
      </c>
      <c r="R223" t="s">
        <v>23</v>
      </c>
      <c r="S223">
        <v>1</v>
      </c>
    </row>
    <row r="224" spans="2:19" x14ac:dyDescent="0.25">
      <c r="F224">
        <v>5</v>
      </c>
      <c r="H224">
        <v>748</v>
      </c>
      <c r="I224" s="1" t="s">
        <v>27</v>
      </c>
      <c r="P224" t="s">
        <v>21</v>
      </c>
    </row>
    <row r="225" spans="4:19" x14ac:dyDescent="0.25">
      <c r="D225">
        <v>3</v>
      </c>
      <c r="E225">
        <v>80</v>
      </c>
      <c r="F225">
        <v>2</v>
      </c>
      <c r="H225">
        <v>748</v>
      </c>
      <c r="I225" s="1" t="s">
        <v>27</v>
      </c>
      <c r="P225" t="s">
        <v>57</v>
      </c>
    </row>
    <row r="226" spans="4:19" x14ac:dyDescent="0.25">
      <c r="F226">
        <v>5</v>
      </c>
      <c r="H226">
        <v>748</v>
      </c>
      <c r="I226" s="1" t="s">
        <v>27</v>
      </c>
      <c r="P226" t="s">
        <v>21</v>
      </c>
    </row>
    <row r="227" spans="4:19" x14ac:dyDescent="0.25">
      <c r="F227">
        <v>6</v>
      </c>
      <c r="H227">
        <v>748</v>
      </c>
      <c r="I227" s="1" t="s">
        <v>27</v>
      </c>
      <c r="P227" t="s">
        <v>29</v>
      </c>
    </row>
    <row r="228" spans="4:19" x14ac:dyDescent="0.25">
      <c r="F228">
        <v>7</v>
      </c>
      <c r="H228">
        <v>748</v>
      </c>
      <c r="I228">
        <v>1</v>
      </c>
      <c r="J228">
        <v>672</v>
      </c>
      <c r="K228" t="s">
        <v>22</v>
      </c>
      <c r="Q228" t="s">
        <v>25</v>
      </c>
      <c r="R228" t="s">
        <v>23</v>
      </c>
      <c r="S228">
        <v>1</v>
      </c>
    </row>
    <row r="229" spans="4:19" x14ac:dyDescent="0.25">
      <c r="F229">
        <v>8</v>
      </c>
      <c r="H229">
        <v>748</v>
      </c>
      <c r="I229">
        <v>1</v>
      </c>
      <c r="J229">
        <v>74</v>
      </c>
      <c r="K229" t="s">
        <v>22</v>
      </c>
      <c r="Q229" t="s">
        <v>19</v>
      </c>
      <c r="R229" t="s">
        <v>28</v>
      </c>
      <c r="S229">
        <v>1</v>
      </c>
    </row>
    <row r="230" spans="4:19" x14ac:dyDescent="0.25">
      <c r="D230">
        <v>4</v>
      </c>
      <c r="E230">
        <v>80</v>
      </c>
      <c r="F230">
        <v>2</v>
      </c>
      <c r="H230">
        <v>748</v>
      </c>
      <c r="I230" s="1" t="s">
        <v>27</v>
      </c>
      <c r="P230" t="s">
        <v>57</v>
      </c>
    </row>
    <row r="231" spans="4:19" x14ac:dyDescent="0.25">
      <c r="F231">
        <v>5</v>
      </c>
      <c r="H231">
        <v>748</v>
      </c>
      <c r="I231" s="1" t="s">
        <v>27</v>
      </c>
      <c r="P231" t="s">
        <v>21</v>
      </c>
    </row>
    <row r="232" spans="4:19" x14ac:dyDescent="0.25">
      <c r="F232">
        <v>6</v>
      </c>
      <c r="H232">
        <v>748</v>
      </c>
      <c r="I232" s="1" t="s">
        <v>27</v>
      </c>
      <c r="P232" t="s">
        <v>29</v>
      </c>
    </row>
    <row r="233" spans="4:19" x14ac:dyDescent="0.25">
      <c r="F233">
        <v>7</v>
      </c>
      <c r="H233">
        <v>748</v>
      </c>
      <c r="I233">
        <v>1</v>
      </c>
      <c r="L233">
        <v>119</v>
      </c>
      <c r="M233" t="s">
        <v>24</v>
      </c>
      <c r="N233">
        <f>119+748-672+1</f>
        <v>196</v>
      </c>
      <c r="O233">
        <f>N233*80</f>
        <v>15680</v>
      </c>
      <c r="Q233" t="s">
        <v>25</v>
      </c>
      <c r="R233" t="s">
        <v>23</v>
      </c>
    </row>
    <row r="234" spans="4:19" x14ac:dyDescent="0.25">
      <c r="F234">
        <v>8</v>
      </c>
      <c r="H234">
        <v>748</v>
      </c>
      <c r="I234">
        <v>1</v>
      </c>
      <c r="Q234" t="s">
        <v>19</v>
      </c>
      <c r="R234" t="s">
        <v>28</v>
      </c>
    </row>
    <row r="235" spans="4:19" x14ac:dyDescent="0.25">
      <c r="D235">
        <v>5</v>
      </c>
      <c r="E235">
        <v>80</v>
      </c>
      <c r="F235">
        <v>2</v>
      </c>
      <c r="H235">
        <v>748</v>
      </c>
      <c r="I235" s="1" t="s">
        <v>27</v>
      </c>
      <c r="P235" t="s">
        <v>57</v>
      </c>
    </row>
    <row r="236" spans="4:19" x14ac:dyDescent="0.25">
      <c r="F236">
        <v>5</v>
      </c>
      <c r="H236">
        <v>748</v>
      </c>
      <c r="I236" s="1" t="s">
        <v>27</v>
      </c>
      <c r="P236" t="s">
        <v>21</v>
      </c>
    </row>
    <row r="237" spans="4:19" x14ac:dyDescent="0.25">
      <c r="F237">
        <v>6</v>
      </c>
      <c r="H237">
        <v>748</v>
      </c>
      <c r="I237" s="1" t="s">
        <v>27</v>
      </c>
      <c r="P237" t="s">
        <v>29</v>
      </c>
    </row>
    <row r="238" spans="4:19" x14ac:dyDescent="0.25">
      <c r="F238">
        <v>8</v>
      </c>
      <c r="H238">
        <v>748</v>
      </c>
      <c r="I238">
        <v>1</v>
      </c>
      <c r="P238" t="s">
        <v>35</v>
      </c>
      <c r="Q238" t="s">
        <v>19</v>
      </c>
      <c r="R238" t="s">
        <v>28</v>
      </c>
    </row>
    <row r="239" spans="4:19" x14ac:dyDescent="0.25">
      <c r="D239">
        <v>6</v>
      </c>
      <c r="E239">
        <v>80</v>
      </c>
      <c r="F239">
        <v>2</v>
      </c>
      <c r="H239">
        <v>748</v>
      </c>
      <c r="I239" s="1" t="s">
        <v>27</v>
      </c>
      <c r="P239" t="s">
        <v>57</v>
      </c>
    </row>
    <row r="240" spans="4:19" x14ac:dyDescent="0.25">
      <c r="F240">
        <v>5</v>
      </c>
      <c r="H240">
        <v>748</v>
      </c>
      <c r="I240" s="1" t="s">
        <v>27</v>
      </c>
      <c r="P240" t="s">
        <v>21</v>
      </c>
    </row>
    <row r="241" spans="4:19" x14ac:dyDescent="0.25">
      <c r="F241">
        <v>8</v>
      </c>
      <c r="H241">
        <v>748</v>
      </c>
      <c r="I241">
        <v>1</v>
      </c>
      <c r="L241">
        <v>659</v>
      </c>
      <c r="M241" t="s">
        <v>30</v>
      </c>
      <c r="N241">
        <f>659+748*3-74+1</f>
        <v>2830</v>
      </c>
      <c r="O241">
        <f>N241*80</f>
        <v>226400</v>
      </c>
      <c r="P241" t="s">
        <v>35</v>
      </c>
      <c r="Q241" t="s">
        <v>19</v>
      </c>
      <c r="R241" t="s">
        <v>28</v>
      </c>
    </row>
    <row r="242" spans="4:19" x14ac:dyDescent="0.25">
      <c r="F242">
        <v>9</v>
      </c>
      <c r="H242">
        <v>748</v>
      </c>
      <c r="I242" t="s">
        <v>187</v>
      </c>
      <c r="P242" t="s">
        <v>89</v>
      </c>
      <c r="R242" t="s">
        <v>23</v>
      </c>
    </row>
    <row r="243" spans="4:19" x14ac:dyDescent="0.25">
      <c r="F243">
        <v>10</v>
      </c>
      <c r="H243">
        <v>748</v>
      </c>
      <c r="I243" s="1" t="s">
        <v>27</v>
      </c>
      <c r="P243" t="s">
        <v>21</v>
      </c>
    </row>
    <row r="244" spans="4:19" x14ac:dyDescent="0.25">
      <c r="D244">
        <v>7</v>
      </c>
      <c r="E244">
        <v>80</v>
      </c>
      <c r="F244">
        <v>2</v>
      </c>
      <c r="H244">
        <v>748</v>
      </c>
      <c r="I244" s="1" t="s">
        <v>27</v>
      </c>
      <c r="P244" t="s">
        <v>57</v>
      </c>
    </row>
    <row r="245" spans="4:19" x14ac:dyDescent="0.25">
      <c r="F245">
        <v>5</v>
      </c>
      <c r="H245">
        <v>748</v>
      </c>
      <c r="I245" s="1" t="s">
        <v>27</v>
      </c>
      <c r="P245" t="s">
        <v>21</v>
      </c>
    </row>
    <row r="246" spans="4:19" x14ac:dyDescent="0.25">
      <c r="F246">
        <v>7</v>
      </c>
      <c r="H246">
        <v>748</v>
      </c>
      <c r="I246">
        <v>2</v>
      </c>
      <c r="J246">
        <v>291</v>
      </c>
      <c r="K246" t="s">
        <v>22</v>
      </c>
      <c r="L246">
        <v>591</v>
      </c>
      <c r="M246" t="s">
        <v>24</v>
      </c>
      <c r="N246">
        <f>591-291+1</f>
        <v>301</v>
      </c>
      <c r="O246">
        <f>N246*80</f>
        <v>24080</v>
      </c>
      <c r="Q246" t="s">
        <v>25</v>
      </c>
      <c r="R246" t="s">
        <v>23</v>
      </c>
    </row>
    <row r="247" spans="4:19" x14ac:dyDescent="0.25">
      <c r="F247">
        <v>7</v>
      </c>
      <c r="H247">
        <v>748</v>
      </c>
      <c r="I247">
        <v>3</v>
      </c>
      <c r="J247">
        <v>632</v>
      </c>
      <c r="K247" t="s">
        <v>22</v>
      </c>
      <c r="Q247" t="s">
        <v>25</v>
      </c>
      <c r="R247" t="s">
        <v>23</v>
      </c>
    </row>
    <row r="248" spans="4:19" x14ac:dyDescent="0.25">
      <c r="F248">
        <v>8</v>
      </c>
      <c r="H248">
        <v>748</v>
      </c>
      <c r="I248" s="1" t="s">
        <v>27</v>
      </c>
    </row>
    <row r="249" spans="4:19" x14ac:dyDescent="0.25">
      <c r="F249">
        <v>9</v>
      </c>
      <c r="H249">
        <v>748</v>
      </c>
      <c r="I249" t="s">
        <v>87</v>
      </c>
      <c r="P249" t="s">
        <v>88</v>
      </c>
    </row>
    <row r="250" spans="4:19" x14ac:dyDescent="0.25">
      <c r="F250">
        <v>10</v>
      </c>
      <c r="H250">
        <v>748</v>
      </c>
      <c r="I250" s="1" t="s">
        <v>27</v>
      </c>
      <c r="P250" t="s">
        <v>21</v>
      </c>
    </row>
    <row r="251" spans="4:19" x14ac:dyDescent="0.25">
      <c r="F251">
        <v>11</v>
      </c>
      <c r="H251">
        <v>748</v>
      </c>
      <c r="I251">
        <v>1</v>
      </c>
      <c r="J251">
        <v>63</v>
      </c>
      <c r="K251" t="s">
        <v>22</v>
      </c>
      <c r="Q251" t="s">
        <v>25</v>
      </c>
      <c r="R251" t="s">
        <v>20</v>
      </c>
      <c r="S251">
        <v>2</v>
      </c>
    </row>
    <row r="252" spans="4:19" x14ac:dyDescent="0.25">
      <c r="F252">
        <v>12</v>
      </c>
      <c r="H252">
        <v>748</v>
      </c>
      <c r="I252" t="s">
        <v>188</v>
      </c>
      <c r="P252" t="s">
        <v>91</v>
      </c>
      <c r="Q252" t="s">
        <v>19</v>
      </c>
    </row>
    <row r="253" spans="4:19" x14ac:dyDescent="0.25">
      <c r="F253">
        <v>13</v>
      </c>
      <c r="H253">
        <v>748</v>
      </c>
      <c r="I253">
        <v>1</v>
      </c>
      <c r="J253">
        <v>513</v>
      </c>
      <c r="K253" t="s">
        <v>22</v>
      </c>
      <c r="Q253" t="s">
        <v>19</v>
      </c>
      <c r="R253" t="s">
        <v>28</v>
      </c>
      <c r="S253">
        <v>2</v>
      </c>
    </row>
    <row r="254" spans="4:19" x14ac:dyDescent="0.25">
      <c r="D254">
        <v>8</v>
      </c>
      <c r="E254">
        <v>80</v>
      </c>
      <c r="F254">
        <v>5</v>
      </c>
      <c r="H254">
        <v>748</v>
      </c>
      <c r="I254" s="1" t="s">
        <v>27</v>
      </c>
      <c r="P254" t="s">
        <v>21</v>
      </c>
    </row>
    <row r="255" spans="4:19" x14ac:dyDescent="0.25">
      <c r="F255">
        <v>7</v>
      </c>
      <c r="H255">
        <v>748</v>
      </c>
      <c r="I255">
        <v>3</v>
      </c>
      <c r="Q255" t="s">
        <v>25</v>
      </c>
      <c r="R255" t="s">
        <v>23</v>
      </c>
    </row>
    <row r="256" spans="4:19" x14ac:dyDescent="0.25">
      <c r="F256">
        <v>9</v>
      </c>
      <c r="H256">
        <v>748</v>
      </c>
      <c r="I256" t="s">
        <v>87</v>
      </c>
    </row>
    <row r="257" spans="4:19" x14ac:dyDescent="0.25">
      <c r="F257">
        <v>11</v>
      </c>
      <c r="H257">
        <v>748</v>
      </c>
      <c r="I257">
        <v>1</v>
      </c>
      <c r="L257">
        <v>746</v>
      </c>
      <c r="M257" t="s">
        <v>24</v>
      </c>
      <c r="N257">
        <f>746+748-63+1</f>
        <v>1432</v>
      </c>
      <c r="O257">
        <f>N257*80</f>
        <v>114560</v>
      </c>
      <c r="Q257" t="s">
        <v>25</v>
      </c>
      <c r="R257" t="s">
        <v>28</v>
      </c>
    </row>
    <row r="258" spans="4:19" x14ac:dyDescent="0.25">
      <c r="F258">
        <v>11</v>
      </c>
      <c r="H258">
        <v>748</v>
      </c>
      <c r="I258">
        <v>2</v>
      </c>
      <c r="J258">
        <v>641</v>
      </c>
      <c r="K258" t="s">
        <v>22</v>
      </c>
      <c r="P258" t="s">
        <v>31</v>
      </c>
      <c r="Q258" t="s">
        <v>19</v>
      </c>
      <c r="R258" t="s">
        <v>28</v>
      </c>
    </row>
    <row r="259" spans="4:19" x14ac:dyDescent="0.25">
      <c r="F259">
        <v>12</v>
      </c>
      <c r="H259">
        <v>748</v>
      </c>
      <c r="I259">
        <v>1</v>
      </c>
      <c r="L259">
        <v>134</v>
      </c>
      <c r="M259" t="s">
        <v>24</v>
      </c>
      <c r="N259" t="s">
        <v>92</v>
      </c>
      <c r="O259" s="1" t="s">
        <v>27</v>
      </c>
      <c r="Q259" t="s">
        <v>25</v>
      </c>
      <c r="R259" t="s">
        <v>28</v>
      </c>
    </row>
    <row r="260" spans="4:19" x14ac:dyDescent="0.25">
      <c r="F260">
        <v>12</v>
      </c>
      <c r="H260">
        <v>748</v>
      </c>
      <c r="I260">
        <v>2</v>
      </c>
      <c r="P260" t="s">
        <v>31</v>
      </c>
      <c r="Q260" t="s">
        <v>25</v>
      </c>
      <c r="R260" t="s">
        <v>28</v>
      </c>
    </row>
    <row r="261" spans="4:19" x14ac:dyDescent="0.25">
      <c r="F261">
        <v>13</v>
      </c>
      <c r="H261">
        <v>748</v>
      </c>
      <c r="I261">
        <v>1</v>
      </c>
      <c r="L261">
        <v>363</v>
      </c>
      <c r="M261" t="s">
        <v>30</v>
      </c>
      <c r="N261">
        <f>363+748-513+1</f>
        <v>599</v>
      </c>
      <c r="O261">
        <f>N261*80</f>
        <v>47920</v>
      </c>
      <c r="Q261" t="s">
        <v>19</v>
      </c>
      <c r="R261" t="s">
        <v>28</v>
      </c>
    </row>
    <row r="262" spans="4:19" x14ac:dyDescent="0.25">
      <c r="F262">
        <v>14</v>
      </c>
      <c r="H262">
        <v>748</v>
      </c>
      <c r="I262" s="1" t="s">
        <v>27</v>
      </c>
      <c r="P262" t="s">
        <v>57</v>
      </c>
    </row>
    <row r="263" spans="4:19" x14ac:dyDescent="0.25">
      <c r="D263">
        <v>9</v>
      </c>
      <c r="E263">
        <v>80</v>
      </c>
      <c r="F263">
        <v>5</v>
      </c>
      <c r="H263">
        <v>748</v>
      </c>
      <c r="I263" s="1" t="s">
        <v>27</v>
      </c>
      <c r="P263" t="s">
        <v>21</v>
      </c>
    </row>
    <row r="264" spans="4:19" x14ac:dyDescent="0.25">
      <c r="F264">
        <v>7</v>
      </c>
      <c r="H264">
        <v>748</v>
      </c>
      <c r="I264">
        <v>3</v>
      </c>
      <c r="Q264" t="s">
        <v>25</v>
      </c>
      <c r="R264" t="s">
        <v>23</v>
      </c>
    </row>
    <row r="265" spans="4:19" x14ac:dyDescent="0.25">
      <c r="F265">
        <v>9</v>
      </c>
      <c r="H265">
        <v>748</v>
      </c>
      <c r="I265" t="s">
        <v>87</v>
      </c>
    </row>
    <row r="266" spans="4:19" x14ac:dyDescent="0.25">
      <c r="F266">
        <v>11</v>
      </c>
      <c r="H266">
        <v>748</v>
      </c>
      <c r="I266">
        <v>2</v>
      </c>
      <c r="P266" t="s">
        <v>31</v>
      </c>
    </row>
    <row r="267" spans="4:19" x14ac:dyDescent="0.25">
      <c r="F267">
        <v>12</v>
      </c>
      <c r="H267">
        <v>748</v>
      </c>
      <c r="I267" t="s">
        <v>87</v>
      </c>
      <c r="P267" t="s">
        <v>93</v>
      </c>
    </row>
    <row r="268" spans="4:19" x14ac:dyDescent="0.25">
      <c r="F268">
        <v>14</v>
      </c>
      <c r="H268">
        <v>748</v>
      </c>
      <c r="I268" s="1" t="s">
        <v>27</v>
      </c>
      <c r="P268" t="s">
        <v>57</v>
      </c>
    </row>
    <row r="269" spans="4:19" x14ac:dyDescent="0.25">
      <c r="F269">
        <v>15</v>
      </c>
      <c r="H269">
        <v>748</v>
      </c>
      <c r="I269">
        <v>1</v>
      </c>
      <c r="J269">
        <v>662</v>
      </c>
      <c r="K269" t="s">
        <v>22</v>
      </c>
      <c r="Q269" t="s">
        <v>19</v>
      </c>
      <c r="R269" t="s">
        <v>23</v>
      </c>
      <c r="S269">
        <v>2</v>
      </c>
    </row>
    <row r="270" spans="4:19" x14ac:dyDescent="0.25">
      <c r="F270">
        <v>16</v>
      </c>
      <c r="H270">
        <v>748</v>
      </c>
      <c r="I270">
        <v>1</v>
      </c>
      <c r="J270">
        <v>42</v>
      </c>
      <c r="K270" t="s">
        <v>22</v>
      </c>
      <c r="Q270" t="s">
        <v>38</v>
      </c>
      <c r="R270" t="s">
        <v>23</v>
      </c>
      <c r="S270">
        <v>1</v>
      </c>
    </row>
    <row r="271" spans="4:19" x14ac:dyDescent="0.25">
      <c r="F271">
        <v>17</v>
      </c>
      <c r="H271">
        <v>748</v>
      </c>
      <c r="I271" s="1" t="s">
        <v>27</v>
      </c>
      <c r="P271" t="s">
        <v>29</v>
      </c>
    </row>
    <row r="272" spans="4:19" x14ac:dyDescent="0.25">
      <c r="D272">
        <v>10</v>
      </c>
      <c r="E272">
        <v>80</v>
      </c>
      <c r="F272">
        <v>5</v>
      </c>
      <c r="H272">
        <v>748</v>
      </c>
      <c r="I272" s="1" t="s">
        <v>27</v>
      </c>
      <c r="P272" t="s">
        <v>21</v>
      </c>
    </row>
    <row r="273" spans="4:18" x14ac:dyDescent="0.25">
      <c r="F273">
        <v>7</v>
      </c>
      <c r="H273">
        <v>748</v>
      </c>
      <c r="I273">
        <v>3</v>
      </c>
      <c r="Q273" t="s">
        <v>25</v>
      </c>
      <c r="R273" t="s">
        <v>23</v>
      </c>
    </row>
    <row r="274" spans="4:18" x14ac:dyDescent="0.25">
      <c r="F274">
        <v>8</v>
      </c>
      <c r="H274">
        <v>748</v>
      </c>
      <c r="I274">
        <v>2</v>
      </c>
      <c r="J274">
        <v>260</v>
      </c>
      <c r="K274" t="s">
        <v>22</v>
      </c>
      <c r="Q274" t="s">
        <v>25</v>
      </c>
      <c r="R274" t="s">
        <v>28</v>
      </c>
    </row>
    <row r="275" spans="4:18" x14ac:dyDescent="0.25">
      <c r="F275">
        <v>9</v>
      </c>
      <c r="H275">
        <v>748</v>
      </c>
      <c r="I275" t="s">
        <v>87</v>
      </c>
    </row>
    <row r="276" spans="4:18" x14ac:dyDescent="0.25">
      <c r="F276">
        <v>12</v>
      </c>
      <c r="H276">
        <v>748</v>
      </c>
      <c r="I276" t="s">
        <v>87</v>
      </c>
    </row>
    <row r="277" spans="4:18" x14ac:dyDescent="0.25">
      <c r="F277">
        <v>14</v>
      </c>
      <c r="H277">
        <v>748</v>
      </c>
      <c r="I277" s="1" t="s">
        <v>27</v>
      </c>
      <c r="P277" t="s">
        <v>57</v>
      </c>
    </row>
    <row r="278" spans="4:18" x14ac:dyDescent="0.25">
      <c r="F278">
        <v>15</v>
      </c>
      <c r="H278">
        <v>748</v>
      </c>
      <c r="I278">
        <v>1</v>
      </c>
      <c r="Q278" t="s">
        <v>19</v>
      </c>
      <c r="R278" t="s">
        <v>23</v>
      </c>
    </row>
    <row r="279" spans="4:18" x14ac:dyDescent="0.25">
      <c r="F279">
        <v>16</v>
      </c>
      <c r="H279">
        <v>748</v>
      </c>
      <c r="I279">
        <v>1</v>
      </c>
      <c r="Q279" t="s">
        <v>38</v>
      </c>
      <c r="R279" t="s">
        <v>23</v>
      </c>
    </row>
    <row r="280" spans="4:18" x14ac:dyDescent="0.25">
      <c r="F280">
        <v>17</v>
      </c>
      <c r="H280">
        <v>748</v>
      </c>
      <c r="I280" s="1" t="s">
        <v>27</v>
      </c>
      <c r="P280" t="s">
        <v>29</v>
      </c>
    </row>
    <row r="281" spans="4:18" x14ac:dyDescent="0.25">
      <c r="D281">
        <v>11</v>
      </c>
      <c r="E281">
        <v>80</v>
      </c>
      <c r="F281">
        <v>5</v>
      </c>
      <c r="H281">
        <v>748</v>
      </c>
      <c r="I281" s="1" t="s">
        <v>27</v>
      </c>
      <c r="P281" t="s">
        <v>21</v>
      </c>
    </row>
    <row r="282" spans="4:18" x14ac:dyDescent="0.25">
      <c r="F282">
        <v>7</v>
      </c>
      <c r="H282">
        <v>748</v>
      </c>
      <c r="I282">
        <v>3</v>
      </c>
      <c r="M282" s="1" t="s">
        <v>27</v>
      </c>
      <c r="N282" t="s">
        <v>94</v>
      </c>
      <c r="O282" s="1" t="s">
        <v>27</v>
      </c>
      <c r="Q282" t="s">
        <v>25</v>
      </c>
      <c r="R282" t="s">
        <v>23</v>
      </c>
    </row>
    <row r="283" spans="4:18" x14ac:dyDescent="0.25">
      <c r="F283">
        <v>8</v>
      </c>
      <c r="H283">
        <v>748</v>
      </c>
      <c r="I283">
        <v>2</v>
      </c>
      <c r="M283" s="1" t="s">
        <v>27</v>
      </c>
      <c r="N283" t="s">
        <v>95</v>
      </c>
      <c r="O283" s="1" t="s">
        <v>27</v>
      </c>
      <c r="Q283" t="s">
        <v>38</v>
      </c>
      <c r="R283" t="s">
        <v>28</v>
      </c>
    </row>
    <row r="284" spans="4:18" x14ac:dyDescent="0.25">
      <c r="F284">
        <v>9</v>
      </c>
      <c r="H284">
        <v>748</v>
      </c>
      <c r="I284" t="s">
        <v>87</v>
      </c>
    </row>
    <row r="285" spans="4:18" x14ac:dyDescent="0.25">
      <c r="F285">
        <v>12</v>
      </c>
      <c r="H285">
        <v>748</v>
      </c>
      <c r="I285" t="s">
        <v>87</v>
      </c>
    </row>
    <row r="286" spans="4:18" x14ac:dyDescent="0.25">
      <c r="F286">
        <v>15</v>
      </c>
      <c r="H286">
        <v>748</v>
      </c>
      <c r="I286">
        <v>1</v>
      </c>
      <c r="M286" s="1" t="s">
        <v>27</v>
      </c>
      <c r="N286" t="s">
        <v>96</v>
      </c>
      <c r="Q286" t="s">
        <v>19</v>
      </c>
      <c r="R286" t="s">
        <v>23</v>
      </c>
    </row>
    <row r="287" spans="4:18" x14ac:dyDescent="0.25">
      <c r="F287">
        <v>15</v>
      </c>
      <c r="H287">
        <v>748</v>
      </c>
      <c r="I287">
        <v>2</v>
      </c>
      <c r="J287">
        <v>735</v>
      </c>
      <c r="K287" t="s">
        <v>22</v>
      </c>
      <c r="Q287" t="s">
        <v>25</v>
      </c>
      <c r="R287" t="s">
        <v>23</v>
      </c>
    </row>
    <row r="288" spans="4:18" x14ac:dyDescent="0.25">
      <c r="F288">
        <v>16</v>
      </c>
      <c r="H288">
        <v>748</v>
      </c>
      <c r="I288">
        <v>1</v>
      </c>
      <c r="L288">
        <v>265</v>
      </c>
      <c r="M288" t="s">
        <v>30</v>
      </c>
      <c r="N288">
        <f>265+748*2-42+1</f>
        <v>1720</v>
      </c>
      <c r="O288">
        <f>N288*80</f>
        <v>137600</v>
      </c>
      <c r="Q288" t="s">
        <v>19</v>
      </c>
      <c r="R288" t="s">
        <v>23</v>
      </c>
    </row>
    <row r="289" spans="1:19" x14ac:dyDescent="0.25">
      <c r="F289">
        <v>17</v>
      </c>
      <c r="H289">
        <v>748</v>
      </c>
      <c r="I289" s="1" t="s">
        <v>27</v>
      </c>
      <c r="P289" t="s">
        <v>29</v>
      </c>
    </row>
    <row r="290" spans="1:19" x14ac:dyDescent="0.25">
      <c r="B290" t="s">
        <v>97</v>
      </c>
      <c r="C290" t="s">
        <v>98</v>
      </c>
      <c r="D290">
        <v>0</v>
      </c>
      <c r="E290">
        <v>80</v>
      </c>
      <c r="F290">
        <v>1</v>
      </c>
      <c r="H290">
        <v>748</v>
      </c>
      <c r="I290">
        <v>1</v>
      </c>
      <c r="J290">
        <v>38</v>
      </c>
      <c r="K290" t="s">
        <v>22</v>
      </c>
      <c r="L290">
        <v>97</v>
      </c>
      <c r="M290" t="s">
        <v>24</v>
      </c>
      <c r="N290">
        <f>97-38+1</f>
        <v>60</v>
      </c>
      <c r="O290">
        <f>N290*80</f>
        <v>4800</v>
      </c>
      <c r="Q290" t="s">
        <v>25</v>
      </c>
      <c r="R290" t="s">
        <v>23</v>
      </c>
      <c r="S290">
        <v>1</v>
      </c>
    </row>
    <row r="291" spans="1:19" x14ac:dyDescent="0.25">
      <c r="F291">
        <v>2</v>
      </c>
      <c r="H291">
        <v>748</v>
      </c>
      <c r="I291">
        <v>1</v>
      </c>
      <c r="J291">
        <v>224</v>
      </c>
      <c r="K291" t="s">
        <v>54</v>
      </c>
      <c r="L291">
        <v>660</v>
      </c>
      <c r="M291" t="s">
        <v>54</v>
      </c>
      <c r="N291">
        <f>660-224+1</f>
        <v>437</v>
      </c>
      <c r="O291">
        <f>N291*80</f>
        <v>34960</v>
      </c>
      <c r="Q291" t="s">
        <v>54</v>
      </c>
      <c r="R291" t="s">
        <v>20</v>
      </c>
      <c r="S291">
        <v>1</v>
      </c>
    </row>
    <row r="292" spans="1:19" x14ac:dyDescent="0.25">
      <c r="F292">
        <v>3</v>
      </c>
      <c r="H292">
        <v>748</v>
      </c>
      <c r="I292">
        <v>1</v>
      </c>
      <c r="Q292" t="s">
        <v>25</v>
      </c>
      <c r="R292" t="s">
        <v>23</v>
      </c>
      <c r="S292">
        <v>1</v>
      </c>
    </row>
    <row r="293" spans="1:19" x14ac:dyDescent="0.25">
      <c r="F293">
        <v>4</v>
      </c>
      <c r="H293">
        <v>748</v>
      </c>
      <c r="I293">
        <v>1</v>
      </c>
      <c r="J293">
        <v>677</v>
      </c>
      <c r="K293" t="s">
        <v>22</v>
      </c>
      <c r="Q293" t="s">
        <v>19</v>
      </c>
      <c r="R293" t="s">
        <v>32</v>
      </c>
      <c r="S293">
        <v>2</v>
      </c>
    </row>
    <row r="294" spans="1:19" x14ac:dyDescent="0.25">
      <c r="F294">
        <v>5</v>
      </c>
      <c r="H294">
        <v>748</v>
      </c>
      <c r="I294" s="1" t="s">
        <v>27</v>
      </c>
      <c r="S294">
        <v>1</v>
      </c>
    </row>
    <row r="295" spans="1:19" x14ac:dyDescent="0.25">
      <c r="F295">
        <v>6</v>
      </c>
      <c r="H295">
        <v>748</v>
      </c>
      <c r="I295">
        <v>1</v>
      </c>
      <c r="J295">
        <v>150</v>
      </c>
      <c r="K295" t="s">
        <v>22</v>
      </c>
      <c r="Q295" t="s">
        <v>25</v>
      </c>
      <c r="R295" t="s">
        <v>20</v>
      </c>
      <c r="S295">
        <v>1</v>
      </c>
    </row>
    <row r="296" spans="1:19" x14ac:dyDescent="0.25">
      <c r="F296">
        <v>7</v>
      </c>
      <c r="H296">
        <v>748</v>
      </c>
      <c r="I296" s="1" t="s">
        <v>27</v>
      </c>
      <c r="P296" t="s">
        <v>99</v>
      </c>
      <c r="R296" t="s">
        <v>28</v>
      </c>
      <c r="S296">
        <v>3</v>
      </c>
    </row>
    <row r="297" spans="1:19" x14ac:dyDescent="0.25">
      <c r="F297">
        <v>8</v>
      </c>
      <c r="H297">
        <v>748</v>
      </c>
      <c r="I297" s="1" t="s">
        <v>27</v>
      </c>
      <c r="P297" t="s">
        <v>29</v>
      </c>
    </row>
    <row r="298" spans="1:19" x14ac:dyDescent="0.25">
      <c r="D298">
        <v>1</v>
      </c>
      <c r="E298">
        <v>80</v>
      </c>
      <c r="F298">
        <v>1</v>
      </c>
      <c r="H298">
        <v>748</v>
      </c>
      <c r="I298">
        <v>2</v>
      </c>
      <c r="J298">
        <v>564</v>
      </c>
      <c r="K298" t="s">
        <v>22</v>
      </c>
      <c r="L298">
        <v>586</v>
      </c>
      <c r="M298" t="s">
        <v>30</v>
      </c>
      <c r="N298">
        <f>586-564+1</f>
        <v>23</v>
      </c>
      <c r="O298">
        <f>N298*80</f>
        <v>1840</v>
      </c>
      <c r="P298" t="s">
        <v>100</v>
      </c>
      <c r="Q298" t="s">
        <v>19</v>
      </c>
      <c r="R298" t="s">
        <v>23</v>
      </c>
      <c r="S298">
        <v>1</v>
      </c>
    </row>
    <row r="299" spans="1:19" x14ac:dyDescent="0.25">
      <c r="F299">
        <v>3</v>
      </c>
      <c r="H299">
        <v>748</v>
      </c>
      <c r="I299">
        <v>1</v>
      </c>
      <c r="Q299" t="s">
        <v>25</v>
      </c>
      <c r="R299" t="s">
        <v>23</v>
      </c>
    </row>
    <row r="300" spans="1:19" x14ac:dyDescent="0.25">
      <c r="F300">
        <v>4</v>
      </c>
      <c r="H300">
        <v>748</v>
      </c>
      <c r="I300">
        <v>1</v>
      </c>
      <c r="L300">
        <v>999</v>
      </c>
      <c r="M300" t="s">
        <v>26</v>
      </c>
      <c r="N300">
        <f>748*2-677+1</f>
        <v>820</v>
      </c>
      <c r="O300">
        <f>N300*80</f>
        <v>65600</v>
      </c>
      <c r="Q300" t="s">
        <v>19</v>
      </c>
      <c r="R300" t="s">
        <v>32</v>
      </c>
    </row>
    <row r="301" spans="1:19" x14ac:dyDescent="0.25">
      <c r="F301">
        <v>6</v>
      </c>
      <c r="H301">
        <v>748</v>
      </c>
      <c r="I301">
        <v>1</v>
      </c>
      <c r="Q301" t="s">
        <v>25</v>
      </c>
      <c r="R301" t="s">
        <v>20</v>
      </c>
    </row>
    <row r="302" spans="1:19" x14ac:dyDescent="0.25">
      <c r="F302">
        <v>7</v>
      </c>
      <c r="H302">
        <v>748</v>
      </c>
      <c r="I302" s="1" t="s">
        <v>27</v>
      </c>
    </row>
    <row r="303" spans="1:19" x14ac:dyDescent="0.25">
      <c r="A303" t="s">
        <v>103</v>
      </c>
      <c r="F303">
        <v>9</v>
      </c>
      <c r="H303">
        <v>748</v>
      </c>
      <c r="I303">
        <v>1</v>
      </c>
      <c r="J303">
        <v>-999</v>
      </c>
      <c r="K303" t="s">
        <v>26</v>
      </c>
      <c r="P303" t="s">
        <v>102</v>
      </c>
      <c r="Q303" t="s">
        <v>101</v>
      </c>
      <c r="R303" t="s">
        <v>20</v>
      </c>
      <c r="S303">
        <v>2</v>
      </c>
    </row>
    <row r="304" spans="1:19" x14ac:dyDescent="0.25">
      <c r="F304">
        <v>10</v>
      </c>
      <c r="H304">
        <v>748</v>
      </c>
      <c r="I304">
        <v>1</v>
      </c>
      <c r="J304">
        <v>524</v>
      </c>
      <c r="K304" t="s">
        <v>22</v>
      </c>
      <c r="Q304" t="s">
        <v>25</v>
      </c>
      <c r="R304" t="s">
        <v>20</v>
      </c>
      <c r="S304">
        <v>1</v>
      </c>
    </row>
    <row r="305" spans="1:19" x14ac:dyDescent="0.25">
      <c r="D305">
        <v>2</v>
      </c>
      <c r="E305">
        <v>80</v>
      </c>
      <c r="F305">
        <v>3</v>
      </c>
      <c r="H305">
        <v>748</v>
      </c>
      <c r="I305">
        <v>1</v>
      </c>
      <c r="L305">
        <v>29</v>
      </c>
      <c r="M305" t="s">
        <v>24</v>
      </c>
      <c r="N305" t="s">
        <v>117</v>
      </c>
      <c r="O305" s="1" t="s">
        <v>27</v>
      </c>
      <c r="Q305" t="s">
        <v>25</v>
      </c>
      <c r="R305" t="s">
        <v>23</v>
      </c>
    </row>
    <row r="306" spans="1:19" x14ac:dyDescent="0.25">
      <c r="F306">
        <v>4</v>
      </c>
      <c r="H306">
        <v>748</v>
      </c>
      <c r="I306" s="1" t="s">
        <v>27</v>
      </c>
    </row>
    <row r="307" spans="1:19" x14ac:dyDescent="0.25">
      <c r="F307">
        <v>5</v>
      </c>
      <c r="H307">
        <v>748</v>
      </c>
      <c r="I307" s="1" t="s">
        <v>27</v>
      </c>
    </row>
    <row r="308" spans="1:19" x14ac:dyDescent="0.25">
      <c r="F308">
        <v>6</v>
      </c>
      <c r="H308">
        <v>748</v>
      </c>
      <c r="I308">
        <v>1</v>
      </c>
      <c r="Q308" t="s">
        <v>25</v>
      </c>
      <c r="R308" t="s">
        <v>23</v>
      </c>
    </row>
    <row r="309" spans="1:19" x14ac:dyDescent="0.25">
      <c r="A309" t="s">
        <v>103</v>
      </c>
      <c r="F309">
        <v>9</v>
      </c>
      <c r="H309">
        <v>748</v>
      </c>
      <c r="I309">
        <v>1</v>
      </c>
      <c r="P309" t="s">
        <v>102</v>
      </c>
      <c r="Q309" t="s">
        <v>101</v>
      </c>
      <c r="R309" t="s">
        <v>23</v>
      </c>
    </row>
    <row r="310" spans="1:19" x14ac:dyDescent="0.25">
      <c r="F310">
        <v>10</v>
      </c>
      <c r="H310">
        <v>748</v>
      </c>
      <c r="I310">
        <v>1</v>
      </c>
      <c r="Q310" t="s">
        <v>25</v>
      </c>
      <c r="R310" t="s">
        <v>20</v>
      </c>
    </row>
    <row r="311" spans="1:19" x14ac:dyDescent="0.25">
      <c r="F311">
        <v>10</v>
      </c>
      <c r="H311">
        <v>748</v>
      </c>
      <c r="I311">
        <v>2</v>
      </c>
      <c r="J311">
        <v>512</v>
      </c>
      <c r="K311" t="s">
        <v>22</v>
      </c>
      <c r="Q311" t="s">
        <v>25</v>
      </c>
      <c r="R311" t="s">
        <v>20</v>
      </c>
    </row>
    <row r="312" spans="1:19" x14ac:dyDescent="0.25">
      <c r="F312">
        <v>11</v>
      </c>
      <c r="H312">
        <v>748</v>
      </c>
      <c r="I312">
        <v>1</v>
      </c>
      <c r="J312">
        <v>-999</v>
      </c>
      <c r="K312" t="s">
        <v>26</v>
      </c>
      <c r="L312">
        <v>239</v>
      </c>
      <c r="M312" t="s">
        <v>30</v>
      </c>
      <c r="N312" t="s">
        <v>104</v>
      </c>
      <c r="O312" s="1" t="s">
        <v>27</v>
      </c>
      <c r="Q312" t="s">
        <v>19</v>
      </c>
      <c r="R312" t="s">
        <v>23</v>
      </c>
      <c r="S312">
        <v>1</v>
      </c>
    </row>
    <row r="313" spans="1:19" x14ac:dyDescent="0.25">
      <c r="D313">
        <v>3</v>
      </c>
      <c r="E313">
        <v>80</v>
      </c>
      <c r="F313">
        <v>4</v>
      </c>
      <c r="H313">
        <v>748</v>
      </c>
      <c r="I313">
        <v>2</v>
      </c>
      <c r="J313">
        <v>524</v>
      </c>
      <c r="K313" t="s">
        <v>22</v>
      </c>
      <c r="Q313" t="s">
        <v>19</v>
      </c>
      <c r="R313" t="s">
        <v>20</v>
      </c>
    </row>
    <row r="314" spans="1:19" x14ac:dyDescent="0.25">
      <c r="F314">
        <v>6</v>
      </c>
      <c r="H314">
        <v>748</v>
      </c>
      <c r="I314">
        <v>1</v>
      </c>
      <c r="Q314" t="s">
        <v>25</v>
      </c>
      <c r="R314" t="s">
        <v>23</v>
      </c>
    </row>
    <row r="315" spans="1:19" x14ac:dyDescent="0.25">
      <c r="A315" t="s">
        <v>103</v>
      </c>
      <c r="F315">
        <v>9</v>
      </c>
      <c r="H315">
        <v>748</v>
      </c>
      <c r="I315">
        <v>1</v>
      </c>
      <c r="Q315" t="s">
        <v>105</v>
      </c>
      <c r="R315" t="s">
        <v>23</v>
      </c>
    </row>
    <row r="316" spans="1:19" x14ac:dyDescent="0.25">
      <c r="F316">
        <v>10</v>
      </c>
      <c r="H316">
        <v>748</v>
      </c>
      <c r="I316" t="s">
        <v>87</v>
      </c>
      <c r="P316" t="s">
        <v>93</v>
      </c>
      <c r="Q316" t="s">
        <v>25</v>
      </c>
      <c r="R316" t="s">
        <v>20</v>
      </c>
    </row>
    <row r="317" spans="1:19" x14ac:dyDescent="0.25">
      <c r="F317">
        <v>11</v>
      </c>
      <c r="H317">
        <v>748</v>
      </c>
      <c r="I317" s="1" t="s">
        <v>27</v>
      </c>
    </row>
    <row r="318" spans="1:19" x14ac:dyDescent="0.25">
      <c r="F318">
        <v>12</v>
      </c>
      <c r="H318">
        <v>748</v>
      </c>
      <c r="I318" s="1" t="s">
        <v>27</v>
      </c>
      <c r="P318" t="s">
        <v>106</v>
      </c>
      <c r="R318" t="s">
        <v>23</v>
      </c>
      <c r="S318">
        <v>1</v>
      </c>
    </row>
    <row r="319" spans="1:19" x14ac:dyDescent="0.25">
      <c r="D319">
        <v>4</v>
      </c>
      <c r="E319">
        <v>80</v>
      </c>
      <c r="F319">
        <v>1</v>
      </c>
      <c r="H319">
        <v>748</v>
      </c>
      <c r="I319" s="1" t="s">
        <v>27</v>
      </c>
    </row>
    <row r="320" spans="1:19" x14ac:dyDescent="0.25">
      <c r="F320">
        <v>4</v>
      </c>
      <c r="H320">
        <v>748</v>
      </c>
      <c r="I320">
        <v>2</v>
      </c>
      <c r="L320">
        <v>23</v>
      </c>
      <c r="M320" t="s">
        <v>30</v>
      </c>
      <c r="N320">
        <f>23+748-524+1</f>
        <v>248</v>
      </c>
      <c r="O320">
        <f>N320*80</f>
        <v>19840</v>
      </c>
      <c r="Q320" t="s">
        <v>19</v>
      </c>
      <c r="R320" t="s">
        <v>23</v>
      </c>
    </row>
    <row r="321" spans="1:19" x14ac:dyDescent="0.25">
      <c r="F321">
        <v>6</v>
      </c>
      <c r="H321">
        <v>748</v>
      </c>
      <c r="I321">
        <v>1</v>
      </c>
      <c r="Q321" t="s">
        <v>25</v>
      </c>
      <c r="R321" t="s">
        <v>23</v>
      </c>
    </row>
    <row r="322" spans="1:19" x14ac:dyDescent="0.25">
      <c r="F322">
        <v>9</v>
      </c>
      <c r="H322">
        <v>748</v>
      </c>
      <c r="I322">
        <v>1</v>
      </c>
      <c r="L322">
        <v>673</v>
      </c>
      <c r="M322" t="s">
        <v>30</v>
      </c>
      <c r="N322" t="s">
        <v>107</v>
      </c>
      <c r="O322" s="1" t="s">
        <v>27</v>
      </c>
      <c r="Q322" t="s">
        <v>105</v>
      </c>
      <c r="R322" t="s">
        <v>32</v>
      </c>
    </row>
    <row r="323" spans="1:19" x14ac:dyDescent="0.25">
      <c r="F323">
        <v>9</v>
      </c>
      <c r="H323">
        <v>748</v>
      </c>
      <c r="I323">
        <v>2</v>
      </c>
      <c r="J323">
        <v>170</v>
      </c>
      <c r="K323" t="s">
        <v>22</v>
      </c>
      <c r="Q323" t="s">
        <v>25</v>
      </c>
      <c r="R323" t="s">
        <v>32</v>
      </c>
    </row>
    <row r="324" spans="1:19" x14ac:dyDescent="0.25">
      <c r="F324">
        <v>10</v>
      </c>
      <c r="H324">
        <v>748</v>
      </c>
      <c r="I324" t="s">
        <v>87</v>
      </c>
      <c r="P324" t="s">
        <v>93</v>
      </c>
      <c r="Q324" t="s">
        <v>25</v>
      </c>
      <c r="R324" t="s">
        <v>28</v>
      </c>
    </row>
    <row r="325" spans="1:19" x14ac:dyDescent="0.25">
      <c r="F325">
        <v>13</v>
      </c>
      <c r="H325">
        <v>748</v>
      </c>
      <c r="I325">
        <v>1</v>
      </c>
      <c r="J325">
        <v>406</v>
      </c>
      <c r="K325" t="s">
        <v>22</v>
      </c>
      <c r="Q325" t="s">
        <v>19</v>
      </c>
      <c r="R325" t="s">
        <v>40</v>
      </c>
      <c r="S325">
        <v>2</v>
      </c>
    </row>
    <row r="326" spans="1:19" x14ac:dyDescent="0.25">
      <c r="D326">
        <v>5</v>
      </c>
      <c r="E326">
        <v>80</v>
      </c>
      <c r="F326">
        <v>1</v>
      </c>
      <c r="H326">
        <v>748</v>
      </c>
      <c r="I326">
        <v>3</v>
      </c>
      <c r="J326">
        <v>-999</v>
      </c>
      <c r="K326" t="s">
        <v>26</v>
      </c>
      <c r="Q326" t="s">
        <v>25</v>
      </c>
      <c r="R326" t="s">
        <v>20</v>
      </c>
    </row>
    <row r="327" spans="1:19" x14ac:dyDescent="0.25">
      <c r="F327">
        <v>6</v>
      </c>
      <c r="H327">
        <v>748</v>
      </c>
      <c r="I327">
        <v>1</v>
      </c>
      <c r="P327" t="s">
        <v>35</v>
      </c>
      <c r="Q327" t="s">
        <v>25</v>
      </c>
      <c r="R327" t="s">
        <v>23</v>
      </c>
    </row>
    <row r="328" spans="1:19" x14ac:dyDescent="0.25">
      <c r="F328">
        <v>9</v>
      </c>
      <c r="H328">
        <v>748</v>
      </c>
      <c r="I328">
        <v>2</v>
      </c>
      <c r="Q328" t="s">
        <v>25</v>
      </c>
      <c r="R328" t="s">
        <v>40</v>
      </c>
    </row>
    <row r="329" spans="1:19" x14ac:dyDescent="0.25">
      <c r="F329">
        <v>10</v>
      </c>
      <c r="H329">
        <v>748</v>
      </c>
      <c r="I329">
        <v>1</v>
      </c>
      <c r="L329">
        <v>433</v>
      </c>
      <c r="M329" t="s">
        <v>24</v>
      </c>
      <c r="N329" s="1">
        <f>433+748*4-524+1</f>
        <v>2902</v>
      </c>
      <c r="O329">
        <f>N329*80</f>
        <v>232160</v>
      </c>
      <c r="P329" t="s">
        <v>93</v>
      </c>
      <c r="Q329" t="s">
        <v>25</v>
      </c>
      <c r="R329" t="s">
        <v>20</v>
      </c>
    </row>
    <row r="330" spans="1:19" x14ac:dyDescent="0.25">
      <c r="F330">
        <v>10</v>
      </c>
      <c r="H330">
        <v>748</v>
      </c>
      <c r="I330">
        <v>2</v>
      </c>
      <c r="N330" s="1"/>
      <c r="Q330" t="s">
        <v>25</v>
      </c>
      <c r="R330" t="s">
        <v>20</v>
      </c>
    </row>
    <row r="331" spans="1:19" x14ac:dyDescent="0.25">
      <c r="F331">
        <v>13</v>
      </c>
      <c r="H331">
        <v>748</v>
      </c>
      <c r="I331">
        <v>1</v>
      </c>
      <c r="Q331" t="s">
        <v>105</v>
      </c>
      <c r="R331" t="s">
        <v>23</v>
      </c>
    </row>
    <row r="332" spans="1:19" x14ac:dyDescent="0.25">
      <c r="F332">
        <v>14</v>
      </c>
      <c r="H332">
        <v>748</v>
      </c>
      <c r="I332" s="1" t="s">
        <v>27</v>
      </c>
      <c r="P332" t="s">
        <v>106</v>
      </c>
      <c r="R332" t="s">
        <v>20</v>
      </c>
      <c r="S332">
        <v>2</v>
      </c>
    </row>
    <row r="333" spans="1:19" x14ac:dyDescent="0.25">
      <c r="A333" t="s">
        <v>103</v>
      </c>
      <c r="F333">
        <v>15</v>
      </c>
      <c r="H333">
        <v>748</v>
      </c>
      <c r="I333">
        <v>1</v>
      </c>
      <c r="J333">
        <v>320</v>
      </c>
      <c r="K333" t="s">
        <v>22</v>
      </c>
      <c r="P333" t="s">
        <v>103</v>
      </c>
      <c r="Q333" t="s">
        <v>108</v>
      </c>
      <c r="R333" t="s">
        <v>28</v>
      </c>
      <c r="S333">
        <v>1</v>
      </c>
    </row>
    <row r="334" spans="1:19" x14ac:dyDescent="0.25">
      <c r="F334">
        <v>16</v>
      </c>
      <c r="H334">
        <v>748</v>
      </c>
      <c r="I334" s="1" t="s">
        <v>27</v>
      </c>
      <c r="P334" t="s">
        <v>106</v>
      </c>
      <c r="R334" t="s">
        <v>32</v>
      </c>
      <c r="S334">
        <v>2</v>
      </c>
    </row>
    <row r="335" spans="1:19" x14ac:dyDescent="0.25">
      <c r="D335">
        <v>6</v>
      </c>
      <c r="E335">
        <v>80</v>
      </c>
      <c r="F335">
        <v>1</v>
      </c>
      <c r="H335">
        <v>748</v>
      </c>
      <c r="I335">
        <v>3</v>
      </c>
      <c r="Q335" t="s">
        <v>25</v>
      </c>
      <c r="R335" t="s">
        <v>23</v>
      </c>
    </row>
    <row r="336" spans="1:19" x14ac:dyDescent="0.25">
      <c r="F336">
        <v>1</v>
      </c>
      <c r="H336">
        <v>748</v>
      </c>
      <c r="I336">
        <v>4</v>
      </c>
      <c r="J336">
        <v>64</v>
      </c>
      <c r="K336" t="s">
        <v>22</v>
      </c>
      <c r="P336" t="s">
        <v>109</v>
      </c>
      <c r="Q336" t="s">
        <v>25</v>
      </c>
      <c r="R336" t="s">
        <v>23</v>
      </c>
    </row>
    <row r="337" spans="1:18" x14ac:dyDescent="0.25">
      <c r="F337">
        <v>4</v>
      </c>
      <c r="H337">
        <v>748</v>
      </c>
      <c r="I337">
        <v>3</v>
      </c>
      <c r="J337">
        <v>256</v>
      </c>
      <c r="K337" t="s">
        <v>22</v>
      </c>
      <c r="Q337" t="s">
        <v>25</v>
      </c>
      <c r="R337" t="s">
        <v>28</v>
      </c>
    </row>
    <row r="338" spans="1:18" x14ac:dyDescent="0.25">
      <c r="F338">
        <v>6</v>
      </c>
      <c r="H338">
        <v>748</v>
      </c>
      <c r="I338">
        <v>1</v>
      </c>
      <c r="L338">
        <v>209</v>
      </c>
      <c r="M338" t="s">
        <v>24</v>
      </c>
      <c r="N338">
        <f>209+748*6-150+1</f>
        <v>4548</v>
      </c>
      <c r="O338">
        <f>N338*80</f>
        <v>363840</v>
      </c>
      <c r="P338" t="s">
        <v>35</v>
      </c>
      <c r="Q338" t="s">
        <v>25</v>
      </c>
      <c r="R338" t="s">
        <v>23</v>
      </c>
    </row>
    <row r="339" spans="1:18" x14ac:dyDescent="0.25">
      <c r="A339" t="s">
        <v>103</v>
      </c>
      <c r="F339">
        <v>6</v>
      </c>
      <c r="H339">
        <v>748</v>
      </c>
      <c r="I339">
        <v>2</v>
      </c>
      <c r="J339">
        <v>430</v>
      </c>
      <c r="K339" t="s">
        <v>22</v>
      </c>
      <c r="P339" t="s">
        <v>103</v>
      </c>
      <c r="Q339" t="s">
        <v>101</v>
      </c>
      <c r="R339" t="s">
        <v>32</v>
      </c>
    </row>
    <row r="340" spans="1:18" x14ac:dyDescent="0.25">
      <c r="F340">
        <v>9</v>
      </c>
      <c r="H340">
        <v>748</v>
      </c>
      <c r="I340">
        <v>2</v>
      </c>
      <c r="Q340" t="s">
        <v>25</v>
      </c>
      <c r="R340" t="s">
        <v>23</v>
      </c>
    </row>
    <row r="341" spans="1:18" x14ac:dyDescent="0.25">
      <c r="F341">
        <v>9</v>
      </c>
      <c r="H341">
        <v>748</v>
      </c>
      <c r="I341">
        <v>3</v>
      </c>
      <c r="J341">
        <v>60</v>
      </c>
      <c r="K341" t="s">
        <v>22</v>
      </c>
      <c r="Q341" t="s">
        <v>19</v>
      </c>
      <c r="R341" t="s">
        <v>23</v>
      </c>
    </row>
    <row r="342" spans="1:18" x14ac:dyDescent="0.25">
      <c r="F342">
        <v>10</v>
      </c>
      <c r="H342">
        <v>748</v>
      </c>
      <c r="I342">
        <v>2</v>
      </c>
      <c r="Q342" t="s">
        <v>25</v>
      </c>
      <c r="R342" t="s">
        <v>28</v>
      </c>
    </row>
    <row r="343" spans="1:18" x14ac:dyDescent="0.25">
      <c r="F343">
        <v>13</v>
      </c>
      <c r="H343">
        <v>748</v>
      </c>
      <c r="I343">
        <v>1</v>
      </c>
      <c r="Q343" t="s">
        <v>19</v>
      </c>
      <c r="R343" t="s">
        <v>23</v>
      </c>
    </row>
    <row r="344" spans="1:18" x14ac:dyDescent="0.25">
      <c r="A344" t="s">
        <v>110</v>
      </c>
      <c r="F344">
        <v>13</v>
      </c>
      <c r="H344">
        <v>748</v>
      </c>
      <c r="I344">
        <v>2</v>
      </c>
      <c r="J344">
        <v>-999</v>
      </c>
      <c r="K344" t="s">
        <v>26</v>
      </c>
      <c r="P344" t="s">
        <v>111</v>
      </c>
      <c r="Q344" t="s">
        <v>25</v>
      </c>
      <c r="R344" t="s">
        <v>23</v>
      </c>
    </row>
    <row r="345" spans="1:18" x14ac:dyDescent="0.25">
      <c r="F345">
        <v>14</v>
      </c>
      <c r="H345">
        <v>748</v>
      </c>
      <c r="I345" s="1" t="s">
        <v>27</v>
      </c>
      <c r="P345" t="s">
        <v>106</v>
      </c>
    </row>
    <row r="346" spans="1:18" x14ac:dyDescent="0.25">
      <c r="F346">
        <v>15</v>
      </c>
      <c r="H346">
        <v>748</v>
      </c>
      <c r="I346">
        <v>1</v>
      </c>
      <c r="P346" t="s">
        <v>103</v>
      </c>
      <c r="Q346" t="s">
        <v>108</v>
      </c>
      <c r="R346" t="s">
        <v>28</v>
      </c>
    </row>
    <row r="347" spans="1:18" x14ac:dyDescent="0.25">
      <c r="D347">
        <v>7</v>
      </c>
      <c r="E347">
        <v>80</v>
      </c>
      <c r="F347">
        <v>1</v>
      </c>
      <c r="H347">
        <v>748</v>
      </c>
      <c r="I347" t="s">
        <v>87</v>
      </c>
      <c r="P347" t="s">
        <v>112</v>
      </c>
      <c r="Q347" t="s">
        <v>25</v>
      </c>
      <c r="R347" t="s">
        <v>20</v>
      </c>
    </row>
    <row r="348" spans="1:18" x14ac:dyDescent="0.25">
      <c r="F348">
        <v>4</v>
      </c>
      <c r="H348">
        <v>748</v>
      </c>
      <c r="I348">
        <v>3</v>
      </c>
      <c r="L348">
        <v>39</v>
      </c>
      <c r="M348" t="s">
        <v>24</v>
      </c>
      <c r="N348">
        <f>39+748*1-256+1</f>
        <v>532</v>
      </c>
      <c r="O348">
        <f>N348*80</f>
        <v>42560</v>
      </c>
      <c r="Q348" t="s">
        <v>25</v>
      </c>
      <c r="R348" t="s">
        <v>28</v>
      </c>
    </row>
    <row r="349" spans="1:18" x14ac:dyDescent="0.25">
      <c r="F349">
        <v>4</v>
      </c>
      <c r="H349">
        <v>748</v>
      </c>
      <c r="I349">
        <v>4</v>
      </c>
      <c r="J349">
        <v>116</v>
      </c>
      <c r="K349" t="s">
        <v>22</v>
      </c>
      <c r="L349">
        <v>154</v>
      </c>
      <c r="M349" t="s">
        <v>30</v>
      </c>
      <c r="N349">
        <f>154-116+1</f>
        <v>39</v>
      </c>
      <c r="O349">
        <f>N349*80</f>
        <v>3120</v>
      </c>
      <c r="Q349" t="s">
        <v>19</v>
      </c>
      <c r="R349" t="s">
        <v>28</v>
      </c>
    </row>
    <row r="350" spans="1:18" x14ac:dyDescent="0.25">
      <c r="F350">
        <v>6</v>
      </c>
      <c r="H350">
        <v>748</v>
      </c>
      <c r="I350">
        <v>2</v>
      </c>
      <c r="P350" t="s">
        <v>103</v>
      </c>
      <c r="Q350" t="s">
        <v>101</v>
      </c>
      <c r="R350" t="s">
        <v>32</v>
      </c>
    </row>
    <row r="351" spans="1:18" x14ac:dyDescent="0.25">
      <c r="F351">
        <v>9</v>
      </c>
      <c r="H351">
        <v>748</v>
      </c>
      <c r="I351">
        <v>2</v>
      </c>
      <c r="Q351" t="s">
        <v>25</v>
      </c>
      <c r="R351" t="s">
        <v>23</v>
      </c>
    </row>
    <row r="352" spans="1:18" x14ac:dyDescent="0.25">
      <c r="F352">
        <v>9</v>
      </c>
      <c r="H352">
        <v>748</v>
      </c>
      <c r="I352">
        <v>3</v>
      </c>
      <c r="Q352" t="s">
        <v>19</v>
      </c>
      <c r="R352" t="s">
        <v>23</v>
      </c>
    </row>
    <row r="353" spans="1:19" x14ac:dyDescent="0.25">
      <c r="F353">
        <v>10</v>
      </c>
      <c r="H353">
        <v>748</v>
      </c>
      <c r="I353">
        <v>2</v>
      </c>
      <c r="Q353" t="s">
        <v>25</v>
      </c>
      <c r="R353" t="s">
        <v>28</v>
      </c>
    </row>
    <row r="354" spans="1:19" x14ac:dyDescent="0.25">
      <c r="F354">
        <v>13</v>
      </c>
      <c r="H354">
        <v>748</v>
      </c>
      <c r="I354">
        <v>1</v>
      </c>
      <c r="L354">
        <v>192</v>
      </c>
      <c r="M354" t="s">
        <v>30</v>
      </c>
      <c r="N354">
        <f>192+748*3-406+1</f>
        <v>2031</v>
      </c>
      <c r="O354">
        <f>N354*80</f>
        <v>162480</v>
      </c>
      <c r="Q354" t="s">
        <v>19</v>
      </c>
      <c r="R354" t="s">
        <v>23</v>
      </c>
    </row>
    <row r="355" spans="1:19" x14ac:dyDescent="0.25">
      <c r="A355" t="s">
        <v>113</v>
      </c>
      <c r="F355">
        <v>13</v>
      </c>
      <c r="H355">
        <v>748</v>
      </c>
      <c r="I355">
        <v>2</v>
      </c>
      <c r="P355" t="s">
        <v>114</v>
      </c>
      <c r="Q355" t="s">
        <v>90</v>
      </c>
      <c r="R355" t="s">
        <v>23</v>
      </c>
    </row>
    <row r="356" spans="1:19" x14ac:dyDescent="0.25">
      <c r="F356">
        <v>14</v>
      </c>
      <c r="H356">
        <v>748</v>
      </c>
      <c r="I356" s="1" t="s">
        <v>27</v>
      </c>
      <c r="P356" t="s">
        <v>106</v>
      </c>
    </row>
    <row r="357" spans="1:19" x14ac:dyDescent="0.25">
      <c r="F357">
        <v>15</v>
      </c>
      <c r="H357">
        <v>748</v>
      </c>
      <c r="I357">
        <v>1</v>
      </c>
      <c r="L357">
        <v>46</v>
      </c>
      <c r="M357" t="s">
        <v>30</v>
      </c>
      <c r="N357">
        <f>46+748*2-320+1</f>
        <v>1223</v>
      </c>
      <c r="O357">
        <f>N357*80</f>
        <v>97840</v>
      </c>
      <c r="Q357" t="s">
        <v>105</v>
      </c>
      <c r="R357" t="s">
        <v>28</v>
      </c>
    </row>
    <row r="358" spans="1:19" x14ac:dyDescent="0.25">
      <c r="F358">
        <v>17</v>
      </c>
      <c r="H358">
        <v>748</v>
      </c>
      <c r="I358">
        <v>1</v>
      </c>
      <c r="J358">
        <v>642</v>
      </c>
      <c r="K358" t="s">
        <v>22</v>
      </c>
      <c r="Q358" t="s">
        <v>25</v>
      </c>
      <c r="R358" t="s">
        <v>32</v>
      </c>
      <c r="S358">
        <v>1</v>
      </c>
    </row>
    <row r="359" spans="1:19" x14ac:dyDescent="0.25">
      <c r="F359">
        <v>18</v>
      </c>
      <c r="H359">
        <v>748</v>
      </c>
      <c r="I359">
        <v>1</v>
      </c>
      <c r="J359">
        <v>-999</v>
      </c>
      <c r="K359" t="s">
        <v>26</v>
      </c>
      <c r="Q359" t="s">
        <v>19</v>
      </c>
      <c r="R359" t="s">
        <v>28</v>
      </c>
      <c r="S359">
        <v>1</v>
      </c>
    </row>
    <row r="360" spans="1:19" x14ac:dyDescent="0.25">
      <c r="A360" t="s">
        <v>103</v>
      </c>
      <c r="F360">
        <v>19</v>
      </c>
      <c r="H360">
        <v>748</v>
      </c>
      <c r="I360">
        <v>1</v>
      </c>
      <c r="J360">
        <v>657</v>
      </c>
      <c r="K360" t="s">
        <v>22</v>
      </c>
      <c r="P360" t="s">
        <v>103</v>
      </c>
      <c r="Q360" t="s">
        <v>105</v>
      </c>
      <c r="R360" t="s">
        <v>23</v>
      </c>
      <c r="S360">
        <v>1</v>
      </c>
    </row>
    <row r="361" spans="1:19" x14ac:dyDescent="0.25">
      <c r="F361">
        <v>20</v>
      </c>
      <c r="H361">
        <v>748</v>
      </c>
      <c r="I361">
        <v>1</v>
      </c>
      <c r="J361">
        <v>694</v>
      </c>
      <c r="K361" t="s">
        <v>22</v>
      </c>
      <c r="Q361" t="s">
        <v>38</v>
      </c>
      <c r="R361" t="s">
        <v>23</v>
      </c>
      <c r="S361">
        <v>1</v>
      </c>
    </row>
    <row r="362" spans="1:19" x14ac:dyDescent="0.25">
      <c r="D362">
        <v>8</v>
      </c>
      <c r="E362">
        <v>80</v>
      </c>
      <c r="F362">
        <v>1</v>
      </c>
      <c r="H362">
        <v>748</v>
      </c>
      <c r="I362" t="s">
        <v>87</v>
      </c>
      <c r="P362" t="s">
        <v>112</v>
      </c>
      <c r="Q362" t="s">
        <v>25</v>
      </c>
      <c r="R362" t="s">
        <v>20</v>
      </c>
    </row>
    <row r="363" spans="1:19" x14ac:dyDescent="0.25">
      <c r="F363">
        <v>6</v>
      </c>
      <c r="H363">
        <v>748</v>
      </c>
      <c r="I363">
        <v>2</v>
      </c>
      <c r="P363" t="s">
        <v>103</v>
      </c>
      <c r="Q363" t="s">
        <v>101</v>
      </c>
      <c r="R363" t="s">
        <v>32</v>
      </c>
    </row>
    <row r="364" spans="1:19" x14ac:dyDescent="0.25">
      <c r="F364">
        <v>9</v>
      </c>
      <c r="H364">
        <v>748</v>
      </c>
      <c r="I364">
        <v>2</v>
      </c>
      <c r="Q364" t="s">
        <v>25</v>
      </c>
      <c r="R364" t="s">
        <v>32</v>
      </c>
    </row>
    <row r="365" spans="1:19" x14ac:dyDescent="0.25">
      <c r="F365">
        <v>9</v>
      </c>
      <c r="H365">
        <v>748</v>
      </c>
      <c r="I365">
        <v>3</v>
      </c>
      <c r="Q365" t="s">
        <v>19</v>
      </c>
      <c r="R365" t="s">
        <v>32</v>
      </c>
    </row>
    <row r="366" spans="1:19" x14ac:dyDescent="0.25">
      <c r="F366">
        <v>10</v>
      </c>
      <c r="H366">
        <v>748</v>
      </c>
      <c r="I366">
        <v>2</v>
      </c>
      <c r="Q366" t="s">
        <v>25</v>
      </c>
      <c r="R366" t="s">
        <v>32</v>
      </c>
    </row>
    <row r="367" spans="1:19" x14ac:dyDescent="0.25">
      <c r="F367">
        <v>11</v>
      </c>
      <c r="H367">
        <v>748</v>
      </c>
      <c r="I367">
        <v>2</v>
      </c>
      <c r="J367">
        <v>686</v>
      </c>
      <c r="K367" t="s">
        <v>22</v>
      </c>
      <c r="Q367" t="s">
        <v>38</v>
      </c>
      <c r="R367" t="s">
        <v>23</v>
      </c>
    </row>
    <row r="368" spans="1:19" x14ac:dyDescent="0.25">
      <c r="A368" t="s">
        <v>115</v>
      </c>
      <c r="F368">
        <v>13</v>
      </c>
      <c r="H368">
        <v>748</v>
      </c>
      <c r="I368">
        <v>2</v>
      </c>
      <c r="P368" t="s">
        <v>35</v>
      </c>
      <c r="Q368" t="s">
        <v>25</v>
      </c>
      <c r="R368" t="s">
        <v>23</v>
      </c>
    </row>
    <row r="369" spans="1:18" x14ac:dyDescent="0.25">
      <c r="F369">
        <v>14</v>
      </c>
      <c r="H369">
        <v>748</v>
      </c>
      <c r="I369" s="1" t="s">
        <v>27</v>
      </c>
      <c r="P369" t="s">
        <v>106</v>
      </c>
    </row>
    <row r="370" spans="1:18" x14ac:dyDescent="0.25">
      <c r="F370">
        <v>17</v>
      </c>
      <c r="H370">
        <v>748</v>
      </c>
      <c r="I370">
        <v>1</v>
      </c>
      <c r="L370">
        <v>368</v>
      </c>
      <c r="M370" t="s">
        <v>24</v>
      </c>
      <c r="N370">
        <f>368+748*1-642+1</f>
        <v>475</v>
      </c>
      <c r="O370">
        <f>N370*80</f>
        <v>38000</v>
      </c>
      <c r="P370" t="s">
        <v>35</v>
      </c>
      <c r="Q370" t="s">
        <v>25</v>
      </c>
      <c r="R370" t="s">
        <v>23</v>
      </c>
    </row>
    <row r="371" spans="1:18" x14ac:dyDescent="0.25">
      <c r="F371">
        <v>18</v>
      </c>
      <c r="H371">
        <v>748</v>
      </c>
      <c r="I371">
        <v>1</v>
      </c>
      <c r="Q371" t="s">
        <v>19</v>
      </c>
      <c r="R371" t="s">
        <v>28</v>
      </c>
    </row>
    <row r="372" spans="1:18" x14ac:dyDescent="0.25">
      <c r="F372">
        <v>19</v>
      </c>
      <c r="H372">
        <v>748</v>
      </c>
      <c r="I372">
        <v>1</v>
      </c>
      <c r="L372">
        <v>716</v>
      </c>
      <c r="M372" t="s">
        <v>30</v>
      </c>
      <c r="N372">
        <f>716+748*1-657+1</f>
        <v>808</v>
      </c>
      <c r="O372">
        <f>N372*80</f>
        <v>64640</v>
      </c>
      <c r="P372" t="s">
        <v>103</v>
      </c>
      <c r="Q372" t="s">
        <v>105</v>
      </c>
      <c r="R372" t="s">
        <v>20</v>
      </c>
    </row>
    <row r="373" spans="1:18" x14ac:dyDescent="0.25">
      <c r="A373" t="s">
        <v>116</v>
      </c>
      <c r="F373">
        <v>20</v>
      </c>
      <c r="H373">
        <v>748</v>
      </c>
      <c r="I373">
        <v>1</v>
      </c>
      <c r="Q373" t="s">
        <v>19</v>
      </c>
      <c r="R373" t="s">
        <v>23</v>
      </c>
    </row>
    <row r="374" spans="1:18" x14ac:dyDescent="0.25">
      <c r="D374">
        <v>9</v>
      </c>
      <c r="E374">
        <v>80</v>
      </c>
      <c r="F374">
        <v>1</v>
      </c>
      <c r="H374">
        <v>748</v>
      </c>
      <c r="I374" t="s">
        <v>87</v>
      </c>
      <c r="P374" t="s">
        <v>112</v>
      </c>
      <c r="Q374" t="s">
        <v>25</v>
      </c>
      <c r="R374" t="s">
        <v>23</v>
      </c>
    </row>
    <row r="375" spans="1:18" x14ac:dyDescent="0.25">
      <c r="A375" t="s">
        <v>119</v>
      </c>
      <c r="F375">
        <v>3</v>
      </c>
      <c r="H375">
        <v>748</v>
      </c>
      <c r="I375">
        <v>2</v>
      </c>
      <c r="J375">
        <v>193</v>
      </c>
      <c r="K375" t="s">
        <v>22</v>
      </c>
      <c r="P375" t="s">
        <v>118</v>
      </c>
      <c r="Q375" t="s">
        <v>25</v>
      </c>
      <c r="R375" t="s">
        <v>23</v>
      </c>
    </row>
    <row r="376" spans="1:18" x14ac:dyDescent="0.25">
      <c r="F376">
        <v>4</v>
      </c>
      <c r="H376">
        <v>748</v>
      </c>
      <c r="I376">
        <v>5</v>
      </c>
      <c r="J376">
        <v>-999</v>
      </c>
      <c r="K376" t="s">
        <v>26</v>
      </c>
      <c r="L376">
        <v>457</v>
      </c>
      <c r="M376" t="s">
        <v>24</v>
      </c>
      <c r="N376" t="s">
        <v>120</v>
      </c>
      <c r="O376" s="1" t="s">
        <v>27</v>
      </c>
      <c r="Q376" t="s">
        <v>25</v>
      </c>
      <c r="R376" t="s">
        <v>23</v>
      </c>
    </row>
    <row r="377" spans="1:18" x14ac:dyDescent="0.25">
      <c r="F377">
        <v>6</v>
      </c>
      <c r="H377">
        <v>748</v>
      </c>
      <c r="I377">
        <v>2</v>
      </c>
      <c r="P377" t="s">
        <v>103</v>
      </c>
      <c r="Q377" t="s">
        <v>101</v>
      </c>
      <c r="R377" t="s">
        <v>32</v>
      </c>
    </row>
    <row r="378" spans="1:18" x14ac:dyDescent="0.25">
      <c r="F378">
        <v>6</v>
      </c>
      <c r="H378">
        <v>748</v>
      </c>
      <c r="I378">
        <v>3</v>
      </c>
      <c r="J378">
        <v>736</v>
      </c>
      <c r="K378" t="s">
        <v>22</v>
      </c>
      <c r="Q378" t="s">
        <v>25</v>
      </c>
      <c r="R378" t="s">
        <v>32</v>
      </c>
    </row>
    <row r="379" spans="1:18" x14ac:dyDescent="0.25">
      <c r="F379">
        <v>9</v>
      </c>
      <c r="H379">
        <v>748</v>
      </c>
      <c r="I379">
        <v>2</v>
      </c>
      <c r="Q379" t="s">
        <v>25</v>
      </c>
      <c r="R379" t="s">
        <v>32</v>
      </c>
    </row>
    <row r="380" spans="1:18" x14ac:dyDescent="0.25">
      <c r="F380">
        <v>9</v>
      </c>
      <c r="H380">
        <v>748</v>
      </c>
      <c r="I380">
        <v>3</v>
      </c>
      <c r="Q380" t="s">
        <v>19</v>
      </c>
      <c r="R380" t="s">
        <v>32</v>
      </c>
    </row>
    <row r="381" spans="1:18" x14ac:dyDescent="0.25">
      <c r="F381">
        <v>10</v>
      </c>
      <c r="H381">
        <v>748</v>
      </c>
      <c r="I381">
        <v>2</v>
      </c>
      <c r="Q381" t="s">
        <v>25</v>
      </c>
      <c r="R381" t="s">
        <v>28</v>
      </c>
    </row>
    <row r="382" spans="1:18" x14ac:dyDescent="0.25">
      <c r="F382">
        <v>10</v>
      </c>
      <c r="H382">
        <v>748</v>
      </c>
      <c r="I382">
        <v>3</v>
      </c>
      <c r="J382">
        <v>695</v>
      </c>
      <c r="K382" t="s">
        <v>22</v>
      </c>
      <c r="Q382" t="s">
        <v>19</v>
      </c>
      <c r="R382" t="s">
        <v>28</v>
      </c>
    </row>
    <row r="383" spans="1:18" x14ac:dyDescent="0.25">
      <c r="F383">
        <v>11</v>
      </c>
      <c r="H383">
        <v>748</v>
      </c>
      <c r="I383">
        <v>2</v>
      </c>
      <c r="Q383" t="s">
        <v>38</v>
      </c>
      <c r="R383" t="s">
        <v>32</v>
      </c>
    </row>
    <row r="384" spans="1:18" x14ac:dyDescent="0.25">
      <c r="F384">
        <v>13</v>
      </c>
      <c r="H384">
        <v>748</v>
      </c>
      <c r="I384">
        <v>2</v>
      </c>
      <c r="P384" t="s">
        <v>35</v>
      </c>
      <c r="Q384" t="s">
        <v>25</v>
      </c>
      <c r="R384" t="s">
        <v>23</v>
      </c>
    </row>
    <row r="385" spans="1:18" x14ac:dyDescent="0.25">
      <c r="F385">
        <v>14</v>
      </c>
      <c r="H385">
        <v>748</v>
      </c>
      <c r="I385" s="1" t="s">
        <v>27</v>
      </c>
      <c r="P385" t="s">
        <v>106</v>
      </c>
    </row>
    <row r="386" spans="1:18" x14ac:dyDescent="0.25">
      <c r="F386">
        <v>18</v>
      </c>
      <c r="H386">
        <v>748</v>
      </c>
      <c r="I386">
        <v>1</v>
      </c>
      <c r="L386">
        <v>656</v>
      </c>
      <c r="M386" t="s">
        <v>30</v>
      </c>
      <c r="N386">
        <f>656+748*2</f>
        <v>2152</v>
      </c>
      <c r="O386">
        <f>N386*80</f>
        <v>172160</v>
      </c>
      <c r="Q386" t="s">
        <v>19</v>
      </c>
      <c r="R386" t="s">
        <v>28</v>
      </c>
    </row>
    <row r="387" spans="1:18" x14ac:dyDescent="0.25">
      <c r="F387">
        <v>20</v>
      </c>
      <c r="H387">
        <v>748</v>
      </c>
      <c r="I387">
        <v>1</v>
      </c>
      <c r="Q387" t="s">
        <v>19</v>
      </c>
      <c r="R387" t="s">
        <v>32</v>
      </c>
    </row>
    <row r="388" spans="1:18" x14ac:dyDescent="0.25">
      <c r="F388">
        <v>21</v>
      </c>
      <c r="H388">
        <v>748</v>
      </c>
      <c r="I388">
        <v>1</v>
      </c>
      <c r="J388">
        <v>-999</v>
      </c>
      <c r="K388" t="s">
        <v>26</v>
      </c>
      <c r="L388">
        <v>134</v>
      </c>
      <c r="M388" t="s">
        <v>24</v>
      </c>
      <c r="N388" t="s">
        <v>122</v>
      </c>
      <c r="O388" s="1" t="s">
        <v>27</v>
      </c>
      <c r="P388" t="s">
        <v>121</v>
      </c>
      <c r="Q388" t="s">
        <v>25</v>
      </c>
      <c r="R388" t="s">
        <v>32</v>
      </c>
    </row>
    <row r="389" spans="1:18" x14ac:dyDescent="0.25">
      <c r="F389">
        <v>22</v>
      </c>
      <c r="H389">
        <v>748</v>
      </c>
      <c r="P389" t="s">
        <v>29</v>
      </c>
    </row>
    <row r="390" spans="1:18" x14ac:dyDescent="0.25">
      <c r="D390">
        <v>10</v>
      </c>
      <c r="E390">
        <v>80</v>
      </c>
      <c r="F390">
        <v>1</v>
      </c>
      <c r="H390">
        <v>748</v>
      </c>
      <c r="I390" t="s">
        <v>87</v>
      </c>
      <c r="P390" t="s">
        <v>112</v>
      </c>
      <c r="Q390" t="s">
        <v>25</v>
      </c>
      <c r="R390" t="s">
        <v>28</v>
      </c>
    </row>
    <row r="391" spans="1:18" x14ac:dyDescent="0.25">
      <c r="F391">
        <v>3</v>
      </c>
      <c r="H391">
        <v>748</v>
      </c>
      <c r="I391">
        <v>2</v>
      </c>
      <c r="M391" s="1" t="s">
        <v>27</v>
      </c>
      <c r="N391" t="s">
        <v>129</v>
      </c>
      <c r="O391" s="1" t="s">
        <v>27</v>
      </c>
      <c r="P391" t="s">
        <v>35</v>
      </c>
      <c r="Q391" t="s">
        <v>25</v>
      </c>
      <c r="R391" t="s">
        <v>23</v>
      </c>
    </row>
    <row r="392" spans="1:18" x14ac:dyDescent="0.25">
      <c r="F392">
        <v>6</v>
      </c>
      <c r="H392">
        <v>748</v>
      </c>
      <c r="I392">
        <v>2</v>
      </c>
      <c r="P392" t="s">
        <v>103</v>
      </c>
      <c r="Q392" t="s">
        <v>101</v>
      </c>
      <c r="R392" t="s">
        <v>23</v>
      </c>
    </row>
    <row r="393" spans="1:18" x14ac:dyDescent="0.25">
      <c r="F393">
        <v>6</v>
      </c>
      <c r="H393">
        <v>748</v>
      </c>
      <c r="I393">
        <v>3</v>
      </c>
      <c r="L393">
        <v>695</v>
      </c>
      <c r="M393" t="s">
        <v>24</v>
      </c>
      <c r="N393">
        <f>695+748-736+1</f>
        <v>708</v>
      </c>
      <c r="O393">
        <f>N393*80</f>
        <v>56640</v>
      </c>
      <c r="Q393" t="s">
        <v>25</v>
      </c>
      <c r="R393" t="s">
        <v>23</v>
      </c>
    </row>
    <row r="394" spans="1:18" x14ac:dyDescent="0.25">
      <c r="F394">
        <v>9</v>
      </c>
      <c r="H394">
        <v>748</v>
      </c>
      <c r="I394">
        <v>2</v>
      </c>
      <c r="Q394" t="s">
        <v>25</v>
      </c>
      <c r="R394" t="s">
        <v>32</v>
      </c>
    </row>
    <row r="395" spans="1:18" x14ac:dyDescent="0.25">
      <c r="F395">
        <v>9</v>
      </c>
      <c r="H395">
        <v>748</v>
      </c>
      <c r="I395">
        <v>3</v>
      </c>
      <c r="Q395" t="s">
        <v>19</v>
      </c>
      <c r="R395" t="s">
        <v>32</v>
      </c>
    </row>
    <row r="396" spans="1:18" x14ac:dyDescent="0.25">
      <c r="F396">
        <v>10</v>
      </c>
      <c r="H396">
        <v>748</v>
      </c>
      <c r="I396">
        <v>2</v>
      </c>
      <c r="Q396" t="s">
        <v>25</v>
      </c>
      <c r="R396" t="s">
        <v>20</v>
      </c>
    </row>
    <row r="397" spans="1:18" x14ac:dyDescent="0.25">
      <c r="F397">
        <v>10</v>
      </c>
      <c r="H397">
        <v>748</v>
      </c>
      <c r="I397">
        <v>3</v>
      </c>
      <c r="Q397" t="s">
        <v>19</v>
      </c>
      <c r="R397" t="s">
        <v>20</v>
      </c>
    </row>
    <row r="398" spans="1:18" x14ac:dyDescent="0.25">
      <c r="F398">
        <v>11</v>
      </c>
      <c r="H398">
        <v>748</v>
      </c>
      <c r="I398">
        <v>2</v>
      </c>
      <c r="Q398" t="s">
        <v>38</v>
      </c>
      <c r="R398" t="s">
        <v>32</v>
      </c>
    </row>
    <row r="399" spans="1:18" x14ac:dyDescent="0.25">
      <c r="A399" t="s">
        <v>123</v>
      </c>
      <c r="F399">
        <v>13</v>
      </c>
      <c r="H399">
        <v>748</v>
      </c>
      <c r="I399">
        <v>2</v>
      </c>
      <c r="P399" t="s">
        <v>124</v>
      </c>
      <c r="Q399" t="s">
        <v>90</v>
      </c>
      <c r="R399" t="s">
        <v>40</v>
      </c>
    </row>
    <row r="400" spans="1:18" x14ac:dyDescent="0.25">
      <c r="F400">
        <v>14</v>
      </c>
      <c r="H400">
        <v>748</v>
      </c>
      <c r="I400" s="1" t="s">
        <v>27</v>
      </c>
      <c r="P400" t="s">
        <v>106</v>
      </c>
    </row>
    <row r="401" spans="1:19" x14ac:dyDescent="0.25">
      <c r="F401">
        <v>18</v>
      </c>
      <c r="H401">
        <v>748</v>
      </c>
      <c r="I401" s="1" t="s">
        <v>27</v>
      </c>
      <c r="P401" t="s">
        <v>31</v>
      </c>
    </row>
    <row r="402" spans="1:19" x14ac:dyDescent="0.25">
      <c r="F402">
        <v>20</v>
      </c>
      <c r="H402">
        <v>748</v>
      </c>
      <c r="I402">
        <v>1</v>
      </c>
      <c r="Q402" t="s">
        <v>19</v>
      </c>
      <c r="R402" t="s">
        <v>23</v>
      </c>
    </row>
    <row r="403" spans="1:19" x14ac:dyDescent="0.25">
      <c r="F403">
        <v>22</v>
      </c>
      <c r="H403">
        <v>748</v>
      </c>
      <c r="I403" s="1" t="s">
        <v>27</v>
      </c>
      <c r="P403" t="s">
        <v>29</v>
      </c>
    </row>
    <row r="404" spans="1:19" x14ac:dyDescent="0.25">
      <c r="F404">
        <v>23</v>
      </c>
      <c r="H404">
        <v>748</v>
      </c>
      <c r="I404">
        <v>1</v>
      </c>
      <c r="J404">
        <v>639</v>
      </c>
      <c r="K404" t="s">
        <v>22</v>
      </c>
      <c r="Q404" t="s">
        <v>38</v>
      </c>
      <c r="R404" t="s">
        <v>40</v>
      </c>
      <c r="S404">
        <v>2</v>
      </c>
    </row>
    <row r="405" spans="1:19" x14ac:dyDescent="0.25">
      <c r="F405">
        <v>24</v>
      </c>
      <c r="H405">
        <v>748</v>
      </c>
      <c r="I405">
        <v>1</v>
      </c>
      <c r="J405">
        <v>601</v>
      </c>
      <c r="K405" t="s">
        <v>22</v>
      </c>
      <c r="Q405" t="s">
        <v>19</v>
      </c>
      <c r="R405" t="s">
        <v>32</v>
      </c>
      <c r="S405">
        <v>1</v>
      </c>
    </row>
    <row r="406" spans="1:19" x14ac:dyDescent="0.25">
      <c r="D406">
        <v>11</v>
      </c>
      <c r="E406">
        <v>80</v>
      </c>
      <c r="F406">
        <v>1</v>
      </c>
      <c r="H406">
        <v>748</v>
      </c>
      <c r="I406">
        <v>3</v>
      </c>
      <c r="M406" s="1" t="s">
        <v>27</v>
      </c>
      <c r="N406" t="s">
        <v>125</v>
      </c>
      <c r="O406" s="1" t="s">
        <v>27</v>
      </c>
      <c r="Q406" t="s">
        <v>25</v>
      </c>
      <c r="R406" t="s">
        <v>23</v>
      </c>
    </row>
    <row r="407" spans="1:19" x14ac:dyDescent="0.25">
      <c r="F407">
        <v>1</v>
      </c>
      <c r="H407">
        <v>748</v>
      </c>
      <c r="I407">
        <v>4</v>
      </c>
      <c r="M407" s="1" t="s">
        <v>27</v>
      </c>
      <c r="N407" t="s">
        <v>126</v>
      </c>
      <c r="O407" s="1" t="s">
        <v>27</v>
      </c>
      <c r="P407" t="s">
        <v>112</v>
      </c>
      <c r="Q407" t="s">
        <v>25</v>
      </c>
      <c r="R407" t="s">
        <v>23</v>
      </c>
    </row>
    <row r="408" spans="1:19" x14ac:dyDescent="0.25">
      <c r="F408">
        <v>2</v>
      </c>
      <c r="H408">
        <v>748</v>
      </c>
      <c r="I408">
        <v>2</v>
      </c>
      <c r="J408">
        <v>494</v>
      </c>
      <c r="K408" t="s">
        <v>22</v>
      </c>
      <c r="N408" t="s">
        <v>127</v>
      </c>
      <c r="O408" s="1" t="s">
        <v>27</v>
      </c>
      <c r="Q408" t="s">
        <v>38</v>
      </c>
      <c r="R408" t="s">
        <v>28</v>
      </c>
    </row>
    <row r="409" spans="1:19" x14ac:dyDescent="0.25">
      <c r="F409">
        <v>3</v>
      </c>
      <c r="H409">
        <v>748</v>
      </c>
      <c r="I409" s="1" t="s">
        <v>27</v>
      </c>
      <c r="P409" t="s">
        <v>128</v>
      </c>
    </row>
    <row r="410" spans="1:19" x14ac:dyDescent="0.25">
      <c r="F410">
        <v>6</v>
      </c>
      <c r="H410">
        <v>748</v>
      </c>
      <c r="I410">
        <v>2</v>
      </c>
      <c r="M410" s="1" t="s">
        <v>27</v>
      </c>
      <c r="N410" t="s">
        <v>130</v>
      </c>
      <c r="O410" s="1" t="s">
        <v>27</v>
      </c>
      <c r="P410" t="s">
        <v>103</v>
      </c>
      <c r="Q410" t="s">
        <v>101</v>
      </c>
      <c r="R410" t="s">
        <v>20</v>
      </c>
    </row>
    <row r="411" spans="1:19" x14ac:dyDescent="0.25">
      <c r="F411">
        <v>9</v>
      </c>
      <c r="H411">
        <v>748</v>
      </c>
      <c r="I411">
        <v>2</v>
      </c>
      <c r="M411" s="1" t="s">
        <v>27</v>
      </c>
      <c r="N411" t="s">
        <v>131</v>
      </c>
      <c r="O411" s="1" t="s">
        <v>27</v>
      </c>
      <c r="Q411" t="s">
        <v>25</v>
      </c>
      <c r="R411" t="s">
        <v>32</v>
      </c>
    </row>
    <row r="412" spans="1:19" x14ac:dyDescent="0.25">
      <c r="F412">
        <v>9</v>
      </c>
      <c r="H412">
        <v>748</v>
      </c>
      <c r="I412">
        <v>3</v>
      </c>
      <c r="M412" s="1" t="s">
        <v>27</v>
      </c>
      <c r="N412" t="s">
        <v>132</v>
      </c>
      <c r="O412" s="1" t="s">
        <v>27</v>
      </c>
      <c r="Q412" t="s">
        <v>19</v>
      </c>
      <c r="R412" t="s">
        <v>32</v>
      </c>
    </row>
    <row r="413" spans="1:19" x14ac:dyDescent="0.25">
      <c r="F413">
        <v>10</v>
      </c>
      <c r="H413">
        <v>748</v>
      </c>
      <c r="I413">
        <v>2</v>
      </c>
      <c r="M413" s="1" t="s">
        <v>27</v>
      </c>
      <c r="N413" t="s">
        <v>133</v>
      </c>
      <c r="O413" s="1" t="s">
        <v>27</v>
      </c>
      <c r="Q413" t="s">
        <v>25</v>
      </c>
      <c r="R413" t="s">
        <v>20</v>
      </c>
    </row>
    <row r="414" spans="1:19" x14ac:dyDescent="0.25">
      <c r="F414">
        <v>10</v>
      </c>
      <c r="H414">
        <v>748</v>
      </c>
      <c r="I414">
        <v>3</v>
      </c>
      <c r="M414" s="1" t="s">
        <v>27</v>
      </c>
      <c r="N414" t="s">
        <v>134</v>
      </c>
      <c r="O414" s="1" t="s">
        <v>27</v>
      </c>
      <c r="Q414" t="s">
        <v>19</v>
      </c>
      <c r="R414" t="s">
        <v>20</v>
      </c>
    </row>
    <row r="415" spans="1:19" x14ac:dyDescent="0.25">
      <c r="F415">
        <v>11</v>
      </c>
      <c r="H415">
        <v>748</v>
      </c>
      <c r="I415">
        <v>2</v>
      </c>
      <c r="M415" s="1" t="s">
        <v>27</v>
      </c>
      <c r="N415" t="s">
        <v>135</v>
      </c>
      <c r="O415" s="1" t="s">
        <v>27</v>
      </c>
      <c r="Q415" t="s">
        <v>25</v>
      </c>
      <c r="R415" t="s">
        <v>23</v>
      </c>
    </row>
    <row r="416" spans="1:19" x14ac:dyDescent="0.25">
      <c r="A416" t="s">
        <v>136</v>
      </c>
      <c r="F416">
        <v>13</v>
      </c>
      <c r="H416">
        <v>748</v>
      </c>
      <c r="I416">
        <v>2</v>
      </c>
      <c r="M416" s="1" t="s">
        <v>27</v>
      </c>
      <c r="N416">
        <v>4131</v>
      </c>
      <c r="O416" s="1" t="s">
        <v>27</v>
      </c>
      <c r="P416" t="s">
        <v>137</v>
      </c>
      <c r="Q416" t="s">
        <v>25</v>
      </c>
      <c r="R416" t="s">
        <v>23</v>
      </c>
    </row>
    <row r="417" spans="2:19" x14ac:dyDescent="0.25">
      <c r="F417">
        <v>14</v>
      </c>
      <c r="H417">
        <v>748</v>
      </c>
      <c r="I417" s="1" t="s">
        <v>27</v>
      </c>
      <c r="P417" t="s">
        <v>106</v>
      </c>
    </row>
    <row r="418" spans="2:19" x14ac:dyDescent="0.25">
      <c r="F418">
        <v>18</v>
      </c>
      <c r="H418">
        <v>748</v>
      </c>
      <c r="I418">
        <v>2</v>
      </c>
      <c r="J418">
        <v>-999</v>
      </c>
      <c r="K418" t="s">
        <v>26</v>
      </c>
      <c r="L418">
        <v>672</v>
      </c>
      <c r="M418" t="s">
        <v>30</v>
      </c>
      <c r="N418">
        <f>672</f>
        <v>672</v>
      </c>
      <c r="O418">
        <f>N418*80</f>
        <v>53760</v>
      </c>
      <c r="Q418" t="s">
        <v>19</v>
      </c>
      <c r="R418" t="s">
        <v>20</v>
      </c>
    </row>
    <row r="419" spans="2:19" x14ac:dyDescent="0.25">
      <c r="F419">
        <v>23</v>
      </c>
      <c r="H419">
        <v>748</v>
      </c>
      <c r="I419">
        <v>1</v>
      </c>
      <c r="M419" s="1" t="s">
        <v>27</v>
      </c>
      <c r="N419" t="s">
        <v>138</v>
      </c>
      <c r="O419" s="1" t="s">
        <v>27</v>
      </c>
      <c r="Q419" t="s">
        <v>25</v>
      </c>
      <c r="R419" t="s">
        <v>28</v>
      </c>
    </row>
    <row r="420" spans="2:19" x14ac:dyDescent="0.25">
      <c r="F420">
        <v>24</v>
      </c>
      <c r="H420">
        <v>748</v>
      </c>
      <c r="I420">
        <v>1</v>
      </c>
      <c r="M420" s="1" t="s">
        <v>27</v>
      </c>
      <c r="N420" t="s">
        <v>139</v>
      </c>
      <c r="O420" s="1" t="s">
        <v>27</v>
      </c>
      <c r="Q420" t="s">
        <v>19</v>
      </c>
      <c r="R420" t="s">
        <v>32</v>
      </c>
    </row>
    <row r="421" spans="2:19" x14ac:dyDescent="0.25">
      <c r="B421" t="s">
        <v>140</v>
      </c>
      <c r="C421" t="s">
        <v>141</v>
      </c>
      <c r="D421">
        <v>0</v>
      </c>
      <c r="E421">
        <v>80</v>
      </c>
      <c r="F421">
        <v>1</v>
      </c>
      <c r="H421">
        <v>748</v>
      </c>
      <c r="I421" s="1" t="s">
        <v>27</v>
      </c>
      <c r="P421" t="s">
        <v>29</v>
      </c>
    </row>
    <row r="422" spans="2:19" x14ac:dyDescent="0.25">
      <c r="F422">
        <v>2</v>
      </c>
      <c r="H422">
        <v>748</v>
      </c>
      <c r="I422">
        <v>1</v>
      </c>
      <c r="L422">
        <v>999</v>
      </c>
      <c r="M422" t="s">
        <v>26</v>
      </c>
      <c r="N422" s="1" t="s">
        <v>45</v>
      </c>
      <c r="O422" s="1" t="s">
        <v>27</v>
      </c>
      <c r="Q422" t="s">
        <v>25</v>
      </c>
      <c r="R422" t="s">
        <v>23</v>
      </c>
      <c r="S422">
        <v>4</v>
      </c>
    </row>
    <row r="423" spans="2:19" x14ac:dyDescent="0.25">
      <c r="F423">
        <v>3</v>
      </c>
      <c r="H423">
        <v>748</v>
      </c>
      <c r="I423">
        <v>1</v>
      </c>
      <c r="J423">
        <v>135</v>
      </c>
      <c r="K423" t="s">
        <v>22</v>
      </c>
      <c r="L423">
        <v>639</v>
      </c>
      <c r="M423" t="s">
        <v>30</v>
      </c>
      <c r="N423">
        <f>639-135+1</f>
        <v>505</v>
      </c>
      <c r="O423">
        <f>N423*80</f>
        <v>40400</v>
      </c>
      <c r="Q423" t="s">
        <v>19</v>
      </c>
      <c r="R423" t="s">
        <v>23</v>
      </c>
      <c r="S423">
        <v>1</v>
      </c>
    </row>
    <row r="424" spans="2:19" x14ac:dyDescent="0.25">
      <c r="D424">
        <v>1</v>
      </c>
      <c r="E424">
        <v>80</v>
      </c>
      <c r="F424">
        <v>1</v>
      </c>
      <c r="H424">
        <v>748</v>
      </c>
      <c r="I424" s="1" t="s">
        <v>27</v>
      </c>
      <c r="P424" t="s">
        <v>29</v>
      </c>
    </row>
    <row r="425" spans="2:19" x14ac:dyDescent="0.25">
      <c r="F425">
        <v>2</v>
      </c>
      <c r="H425">
        <v>748</v>
      </c>
      <c r="I425" s="1" t="s">
        <v>27</v>
      </c>
      <c r="P425" t="s">
        <v>31</v>
      </c>
    </row>
    <row r="426" spans="2:19" x14ac:dyDescent="0.25">
      <c r="F426">
        <v>4</v>
      </c>
      <c r="H426">
        <v>748</v>
      </c>
      <c r="I426" s="1" t="s">
        <v>27</v>
      </c>
      <c r="P426" t="s">
        <v>21</v>
      </c>
    </row>
    <row r="427" spans="2:19" x14ac:dyDescent="0.25">
      <c r="D427">
        <v>2</v>
      </c>
      <c r="E427">
        <v>80</v>
      </c>
      <c r="F427">
        <v>4</v>
      </c>
      <c r="H427">
        <v>748</v>
      </c>
      <c r="I427" s="1" t="s">
        <v>27</v>
      </c>
      <c r="P427" t="s">
        <v>21</v>
      </c>
    </row>
    <row r="428" spans="2:19" x14ac:dyDescent="0.25">
      <c r="F428">
        <v>5</v>
      </c>
      <c r="H428">
        <v>748</v>
      </c>
      <c r="I428" s="1" t="s">
        <v>27</v>
      </c>
      <c r="P428" t="s">
        <v>29</v>
      </c>
    </row>
    <row r="429" spans="2:19" x14ac:dyDescent="0.25">
      <c r="F429">
        <v>6</v>
      </c>
      <c r="H429">
        <v>748</v>
      </c>
      <c r="I429" s="1" t="s">
        <v>27</v>
      </c>
      <c r="P429" t="s">
        <v>29</v>
      </c>
    </row>
    <row r="430" spans="2:19" x14ac:dyDescent="0.25">
      <c r="F430">
        <v>7</v>
      </c>
      <c r="H430">
        <v>748</v>
      </c>
      <c r="I430" s="1" t="s">
        <v>27</v>
      </c>
      <c r="P430" t="s">
        <v>29</v>
      </c>
    </row>
    <row r="431" spans="2:19" x14ac:dyDescent="0.25">
      <c r="F431">
        <v>8</v>
      </c>
      <c r="H431">
        <v>748</v>
      </c>
      <c r="I431">
        <v>1</v>
      </c>
      <c r="J431">
        <v>579</v>
      </c>
      <c r="K431" t="s">
        <v>22</v>
      </c>
      <c r="P431" t="s">
        <v>34</v>
      </c>
      <c r="Q431" t="s">
        <v>19</v>
      </c>
      <c r="R431" t="s">
        <v>23</v>
      </c>
      <c r="S431">
        <v>1</v>
      </c>
    </row>
    <row r="432" spans="2:19" x14ac:dyDescent="0.25">
      <c r="D432">
        <v>3</v>
      </c>
      <c r="E432">
        <v>80</v>
      </c>
      <c r="F432">
        <v>4</v>
      </c>
      <c r="H432">
        <v>748</v>
      </c>
      <c r="I432" s="1" t="s">
        <v>27</v>
      </c>
      <c r="P432" t="s">
        <v>21</v>
      </c>
    </row>
    <row r="433" spans="1:19" x14ac:dyDescent="0.25">
      <c r="F433">
        <v>5</v>
      </c>
      <c r="H433">
        <v>748</v>
      </c>
      <c r="I433" s="1" t="s">
        <v>27</v>
      </c>
      <c r="P433" t="s">
        <v>29</v>
      </c>
    </row>
    <row r="434" spans="1:19" x14ac:dyDescent="0.25">
      <c r="F434">
        <v>6</v>
      </c>
      <c r="H434">
        <v>748</v>
      </c>
      <c r="I434" s="1" t="s">
        <v>27</v>
      </c>
      <c r="P434" t="s">
        <v>29</v>
      </c>
    </row>
    <row r="435" spans="1:19" x14ac:dyDescent="0.25">
      <c r="F435">
        <v>8</v>
      </c>
      <c r="H435">
        <v>748</v>
      </c>
      <c r="I435">
        <v>1</v>
      </c>
      <c r="L435">
        <v>517</v>
      </c>
      <c r="M435" t="s">
        <v>30</v>
      </c>
      <c r="N435">
        <f>517+748-579+1</f>
        <v>687</v>
      </c>
      <c r="O435">
        <f>N435*80</f>
        <v>54960</v>
      </c>
      <c r="Q435" t="s">
        <v>19</v>
      </c>
      <c r="R435" t="s">
        <v>23</v>
      </c>
    </row>
    <row r="436" spans="1:19" x14ac:dyDescent="0.25">
      <c r="A436" t="s">
        <v>103</v>
      </c>
      <c r="F436">
        <v>8</v>
      </c>
      <c r="H436">
        <v>748</v>
      </c>
      <c r="I436">
        <v>2</v>
      </c>
      <c r="J436">
        <v>529</v>
      </c>
      <c r="K436" t="s">
        <v>22</v>
      </c>
      <c r="L436">
        <v>642</v>
      </c>
      <c r="M436" t="s">
        <v>30</v>
      </c>
      <c r="N436">
        <f>642-529+1</f>
        <v>114</v>
      </c>
      <c r="O436">
        <f>N436*80</f>
        <v>9120</v>
      </c>
      <c r="P436" t="s">
        <v>103</v>
      </c>
      <c r="Q436" t="s">
        <v>105</v>
      </c>
      <c r="R436" t="s">
        <v>23</v>
      </c>
    </row>
    <row r="437" spans="1:19" x14ac:dyDescent="0.25">
      <c r="F437">
        <v>9</v>
      </c>
      <c r="H437">
        <v>748</v>
      </c>
      <c r="I437">
        <v>1</v>
      </c>
      <c r="J437">
        <v>485</v>
      </c>
      <c r="K437" t="s">
        <v>22</v>
      </c>
      <c r="P437" t="s">
        <v>34</v>
      </c>
      <c r="Q437" t="s">
        <v>25</v>
      </c>
      <c r="R437" t="s">
        <v>23</v>
      </c>
      <c r="S437">
        <v>1</v>
      </c>
    </row>
    <row r="438" spans="1:19" x14ac:dyDescent="0.25">
      <c r="D438">
        <v>4</v>
      </c>
      <c r="E438">
        <v>80</v>
      </c>
      <c r="F438">
        <v>2</v>
      </c>
      <c r="H438">
        <v>748</v>
      </c>
      <c r="I438">
        <v>2</v>
      </c>
      <c r="J438">
        <v>553</v>
      </c>
      <c r="K438" t="s">
        <v>22</v>
      </c>
      <c r="Q438" t="s">
        <v>25</v>
      </c>
      <c r="R438" t="s">
        <v>23</v>
      </c>
    </row>
    <row r="439" spans="1:19" x14ac:dyDescent="0.25">
      <c r="F439">
        <v>2</v>
      </c>
      <c r="H439">
        <v>748</v>
      </c>
      <c r="I439">
        <v>3</v>
      </c>
      <c r="J439">
        <v>653</v>
      </c>
      <c r="K439" t="s">
        <v>22</v>
      </c>
      <c r="L439">
        <v>999</v>
      </c>
      <c r="M439" s="1" t="s">
        <v>26</v>
      </c>
      <c r="N439">
        <f>748-653+1</f>
        <v>96</v>
      </c>
      <c r="O439">
        <f>N439*80</f>
        <v>7680</v>
      </c>
      <c r="P439" t="s">
        <v>142</v>
      </c>
      <c r="Q439" t="s">
        <v>19</v>
      </c>
      <c r="R439" t="s">
        <v>23</v>
      </c>
    </row>
    <row r="440" spans="1:19" x14ac:dyDescent="0.25">
      <c r="A440" t="s">
        <v>143</v>
      </c>
      <c r="F440">
        <v>3</v>
      </c>
      <c r="H440">
        <v>748</v>
      </c>
      <c r="I440">
        <v>2</v>
      </c>
      <c r="J440">
        <v>260</v>
      </c>
      <c r="K440" t="s">
        <v>22</v>
      </c>
      <c r="P440" t="s">
        <v>144</v>
      </c>
      <c r="Q440" t="s">
        <v>19</v>
      </c>
      <c r="R440" t="s">
        <v>28</v>
      </c>
    </row>
    <row r="441" spans="1:19" x14ac:dyDescent="0.25">
      <c r="F441">
        <v>4</v>
      </c>
      <c r="H441">
        <v>748</v>
      </c>
      <c r="I441" s="1" t="s">
        <v>27</v>
      </c>
      <c r="P441" t="s">
        <v>21</v>
      </c>
    </row>
    <row r="442" spans="1:19" x14ac:dyDescent="0.25">
      <c r="F442">
        <v>8</v>
      </c>
      <c r="H442">
        <v>748</v>
      </c>
      <c r="I442">
        <v>2</v>
      </c>
      <c r="J442">
        <v>372</v>
      </c>
      <c r="K442" t="s">
        <v>22</v>
      </c>
      <c r="P442" t="s">
        <v>34</v>
      </c>
      <c r="Q442" t="s">
        <v>25</v>
      </c>
      <c r="R442" t="s">
        <v>23</v>
      </c>
    </row>
    <row r="443" spans="1:19" x14ac:dyDescent="0.25">
      <c r="F443">
        <v>9</v>
      </c>
      <c r="H443">
        <v>748</v>
      </c>
      <c r="I443">
        <v>1</v>
      </c>
      <c r="Q443" t="s">
        <v>25</v>
      </c>
      <c r="R443" t="s">
        <v>23</v>
      </c>
    </row>
    <row r="444" spans="1:19" x14ac:dyDescent="0.25">
      <c r="F444">
        <v>10</v>
      </c>
      <c r="H444">
        <v>748</v>
      </c>
      <c r="I444">
        <v>1</v>
      </c>
      <c r="J444">
        <v>138</v>
      </c>
      <c r="K444" t="s">
        <v>22</v>
      </c>
      <c r="Q444" t="s">
        <v>19</v>
      </c>
      <c r="R444" t="s">
        <v>20</v>
      </c>
      <c r="S444">
        <v>1</v>
      </c>
    </row>
    <row r="445" spans="1:19" x14ac:dyDescent="0.25">
      <c r="F445">
        <v>11</v>
      </c>
      <c r="H445">
        <v>748</v>
      </c>
      <c r="I445">
        <v>1</v>
      </c>
      <c r="J445">
        <v>-999</v>
      </c>
      <c r="K445" t="s">
        <v>26</v>
      </c>
      <c r="Q445" t="s">
        <v>19</v>
      </c>
      <c r="R445" t="s">
        <v>40</v>
      </c>
      <c r="S445">
        <v>1</v>
      </c>
    </row>
    <row r="446" spans="1:19" x14ac:dyDescent="0.25">
      <c r="A446" t="s">
        <v>145</v>
      </c>
      <c r="F446">
        <v>12</v>
      </c>
      <c r="H446">
        <v>748</v>
      </c>
      <c r="I446" s="1" t="s">
        <v>27</v>
      </c>
      <c r="P446" t="s">
        <v>146</v>
      </c>
      <c r="S446">
        <v>1</v>
      </c>
    </row>
    <row r="447" spans="1:19" x14ac:dyDescent="0.25">
      <c r="D447">
        <v>5</v>
      </c>
      <c r="E447">
        <v>80</v>
      </c>
      <c r="F447">
        <v>2</v>
      </c>
      <c r="H447">
        <v>748</v>
      </c>
      <c r="I447">
        <v>2</v>
      </c>
      <c r="Q447" t="s">
        <v>25</v>
      </c>
      <c r="R447" t="s">
        <v>23</v>
      </c>
    </row>
    <row r="448" spans="1:19" x14ac:dyDescent="0.25">
      <c r="F448">
        <v>4</v>
      </c>
      <c r="H448">
        <v>748</v>
      </c>
      <c r="I448" s="1" t="s">
        <v>27</v>
      </c>
      <c r="P448" t="s">
        <v>21</v>
      </c>
    </row>
    <row r="449" spans="4:19" x14ac:dyDescent="0.25">
      <c r="F449">
        <v>8</v>
      </c>
      <c r="H449">
        <v>748</v>
      </c>
      <c r="I449">
        <v>2</v>
      </c>
      <c r="L449">
        <v>149</v>
      </c>
      <c r="M449" t="s">
        <v>24</v>
      </c>
      <c r="N449">
        <f>149+748-372+1</f>
        <v>526</v>
      </c>
      <c r="O449">
        <f>N449*80</f>
        <v>42080</v>
      </c>
      <c r="Q449" t="s">
        <v>25</v>
      </c>
      <c r="R449" t="s">
        <v>23</v>
      </c>
    </row>
    <row r="450" spans="4:19" x14ac:dyDescent="0.25">
      <c r="F450">
        <v>9</v>
      </c>
      <c r="H450">
        <v>748</v>
      </c>
      <c r="I450">
        <v>1</v>
      </c>
      <c r="Q450" t="s">
        <v>25</v>
      </c>
      <c r="R450" t="s">
        <v>23</v>
      </c>
    </row>
    <row r="451" spans="4:19" x14ac:dyDescent="0.25">
      <c r="F451">
        <v>10</v>
      </c>
      <c r="H451">
        <v>748</v>
      </c>
      <c r="I451">
        <v>1</v>
      </c>
      <c r="L451">
        <v>700</v>
      </c>
      <c r="M451" t="s">
        <v>30</v>
      </c>
      <c r="N451">
        <f>700+748-138+1</f>
        <v>1311</v>
      </c>
      <c r="O451">
        <f>N451*80</f>
        <v>104880</v>
      </c>
      <c r="P451" t="s">
        <v>35</v>
      </c>
      <c r="Q451" t="s">
        <v>19</v>
      </c>
      <c r="R451" t="s">
        <v>32</v>
      </c>
    </row>
    <row r="452" spans="4:19" x14ac:dyDescent="0.25">
      <c r="F452">
        <v>11</v>
      </c>
      <c r="H452">
        <v>748</v>
      </c>
      <c r="I452">
        <v>1</v>
      </c>
      <c r="L452">
        <v>736</v>
      </c>
      <c r="M452" t="s">
        <v>30</v>
      </c>
      <c r="N452">
        <f>736+748</f>
        <v>1484</v>
      </c>
      <c r="O452">
        <f>N452*80</f>
        <v>118720</v>
      </c>
      <c r="Q452" t="s">
        <v>19</v>
      </c>
      <c r="R452" t="s">
        <v>20</v>
      </c>
    </row>
    <row r="453" spans="4:19" x14ac:dyDescent="0.25">
      <c r="D453">
        <v>6</v>
      </c>
      <c r="E453">
        <v>80</v>
      </c>
      <c r="F453">
        <v>2</v>
      </c>
      <c r="H453">
        <v>748</v>
      </c>
      <c r="I453">
        <v>2</v>
      </c>
      <c r="Q453" t="s">
        <v>25</v>
      </c>
      <c r="R453" t="s">
        <v>23</v>
      </c>
    </row>
    <row r="454" spans="4:19" x14ac:dyDescent="0.25">
      <c r="F454">
        <v>9</v>
      </c>
      <c r="H454">
        <v>748</v>
      </c>
      <c r="I454">
        <v>1</v>
      </c>
      <c r="Q454" t="s">
        <v>25</v>
      </c>
      <c r="R454" t="s">
        <v>23</v>
      </c>
    </row>
    <row r="455" spans="4:19" x14ac:dyDescent="0.25">
      <c r="D455">
        <v>7</v>
      </c>
      <c r="E455">
        <v>80</v>
      </c>
      <c r="F455">
        <v>2</v>
      </c>
      <c r="H455">
        <v>748</v>
      </c>
      <c r="I455">
        <v>2</v>
      </c>
      <c r="Q455" t="s">
        <v>25</v>
      </c>
      <c r="R455" t="s">
        <v>23</v>
      </c>
    </row>
    <row r="456" spans="4:19" x14ac:dyDescent="0.25">
      <c r="F456">
        <v>9</v>
      </c>
      <c r="H456">
        <v>748</v>
      </c>
      <c r="I456">
        <v>1</v>
      </c>
      <c r="Q456" t="s">
        <v>25</v>
      </c>
      <c r="R456" t="s">
        <v>23</v>
      </c>
    </row>
    <row r="457" spans="4:19" x14ac:dyDescent="0.25">
      <c r="F457">
        <v>13</v>
      </c>
      <c r="H457">
        <v>748</v>
      </c>
      <c r="I457" s="1" t="s">
        <v>27</v>
      </c>
      <c r="P457" t="s">
        <v>29</v>
      </c>
    </row>
    <row r="458" spans="4:19" x14ac:dyDescent="0.25">
      <c r="F458">
        <v>14</v>
      </c>
      <c r="H458">
        <v>748</v>
      </c>
      <c r="I458" s="1" t="s">
        <v>27</v>
      </c>
      <c r="P458" t="s">
        <v>29</v>
      </c>
    </row>
    <row r="459" spans="4:19" x14ac:dyDescent="0.25">
      <c r="D459">
        <v>8</v>
      </c>
      <c r="E459">
        <v>80</v>
      </c>
      <c r="F459">
        <v>2</v>
      </c>
      <c r="H459">
        <v>748</v>
      </c>
      <c r="I459">
        <v>2</v>
      </c>
      <c r="Q459" t="s">
        <v>25</v>
      </c>
      <c r="R459" t="s">
        <v>23</v>
      </c>
    </row>
    <row r="460" spans="4:19" x14ac:dyDescent="0.25">
      <c r="F460">
        <v>2</v>
      </c>
      <c r="H460">
        <v>748</v>
      </c>
      <c r="I460">
        <v>3</v>
      </c>
      <c r="J460">
        <v>445</v>
      </c>
      <c r="K460" t="s">
        <v>22</v>
      </c>
      <c r="P460" t="s">
        <v>147</v>
      </c>
      <c r="Q460" t="s">
        <v>25</v>
      </c>
      <c r="R460" t="s">
        <v>23</v>
      </c>
    </row>
    <row r="461" spans="4:19" x14ac:dyDescent="0.25">
      <c r="F461">
        <v>9</v>
      </c>
      <c r="H461">
        <v>748</v>
      </c>
      <c r="I461">
        <v>1</v>
      </c>
      <c r="Q461" t="s">
        <v>25</v>
      </c>
      <c r="R461" t="s">
        <v>23</v>
      </c>
    </row>
    <row r="462" spans="4:19" x14ac:dyDescent="0.25">
      <c r="F462">
        <v>13</v>
      </c>
      <c r="H462">
        <v>748</v>
      </c>
      <c r="I462" s="1" t="s">
        <v>27</v>
      </c>
      <c r="P462" t="s">
        <v>29</v>
      </c>
    </row>
    <row r="463" spans="4:19" x14ac:dyDescent="0.25">
      <c r="F463">
        <v>14</v>
      </c>
      <c r="H463">
        <v>748</v>
      </c>
      <c r="I463" s="1" t="s">
        <v>27</v>
      </c>
      <c r="P463" t="s">
        <v>29</v>
      </c>
    </row>
    <row r="464" spans="4:19" x14ac:dyDescent="0.25">
      <c r="F464">
        <v>15</v>
      </c>
      <c r="H464">
        <v>748</v>
      </c>
      <c r="I464">
        <v>1</v>
      </c>
      <c r="J464">
        <v>510</v>
      </c>
      <c r="K464" t="s">
        <v>22</v>
      </c>
      <c r="L464">
        <v>625</v>
      </c>
      <c r="M464" t="s">
        <v>30</v>
      </c>
      <c r="N464">
        <f>625-510+1</f>
        <v>116</v>
      </c>
      <c r="O464">
        <f>N464*80</f>
        <v>9280</v>
      </c>
      <c r="Q464" t="s">
        <v>19</v>
      </c>
      <c r="R464" t="s">
        <v>20</v>
      </c>
      <c r="S464">
        <v>2</v>
      </c>
    </row>
    <row r="465" spans="1:19" x14ac:dyDescent="0.25">
      <c r="D465">
        <v>9</v>
      </c>
      <c r="E465">
        <v>80</v>
      </c>
      <c r="F465">
        <v>2</v>
      </c>
      <c r="H465">
        <v>748</v>
      </c>
      <c r="I465" t="s">
        <v>87</v>
      </c>
      <c r="P465" t="s">
        <v>148</v>
      </c>
      <c r="Q465" t="s">
        <v>25</v>
      </c>
      <c r="R465" t="s">
        <v>23</v>
      </c>
    </row>
    <row r="466" spans="1:19" x14ac:dyDescent="0.25">
      <c r="F466">
        <v>9</v>
      </c>
      <c r="H466">
        <v>748</v>
      </c>
      <c r="I466">
        <v>1</v>
      </c>
      <c r="Q466" t="s">
        <v>25</v>
      </c>
      <c r="R466" t="s">
        <v>23</v>
      </c>
    </row>
    <row r="467" spans="1:19" x14ac:dyDescent="0.25">
      <c r="F467">
        <v>9</v>
      </c>
      <c r="H467">
        <v>748</v>
      </c>
      <c r="I467">
        <v>2</v>
      </c>
      <c r="J467">
        <v>629</v>
      </c>
      <c r="K467" t="s">
        <v>22</v>
      </c>
      <c r="P467" t="s">
        <v>149</v>
      </c>
      <c r="Q467" t="s">
        <v>25</v>
      </c>
      <c r="R467" t="s">
        <v>23</v>
      </c>
    </row>
    <row r="468" spans="1:19" x14ac:dyDescent="0.25">
      <c r="F468">
        <v>14</v>
      </c>
      <c r="H468">
        <v>748</v>
      </c>
      <c r="I468" s="1" t="s">
        <v>27</v>
      </c>
      <c r="P468" t="s">
        <v>29</v>
      </c>
    </row>
    <row r="469" spans="1:19" x14ac:dyDescent="0.25">
      <c r="D469">
        <v>10</v>
      </c>
      <c r="E469">
        <v>80</v>
      </c>
      <c r="F469">
        <v>2</v>
      </c>
      <c r="H469">
        <v>748</v>
      </c>
      <c r="I469">
        <v>2</v>
      </c>
      <c r="P469" t="s">
        <v>150</v>
      </c>
      <c r="Q469" t="s">
        <v>25</v>
      </c>
      <c r="R469" t="s">
        <v>23</v>
      </c>
    </row>
    <row r="470" spans="1:19" x14ac:dyDescent="0.25">
      <c r="F470">
        <v>2</v>
      </c>
      <c r="H470">
        <v>748</v>
      </c>
      <c r="I470">
        <v>3</v>
      </c>
      <c r="L470">
        <v>230</v>
      </c>
      <c r="M470" t="s">
        <v>24</v>
      </c>
      <c r="N470">
        <f>230+748-445+1</f>
        <v>534</v>
      </c>
      <c r="O470">
        <f>N470*80</f>
        <v>42720</v>
      </c>
      <c r="Q470" t="s">
        <v>25</v>
      </c>
      <c r="R470" t="s">
        <v>32</v>
      </c>
    </row>
    <row r="471" spans="1:19" x14ac:dyDescent="0.25">
      <c r="A471" t="s">
        <v>171</v>
      </c>
      <c r="F471">
        <v>8</v>
      </c>
      <c r="H471">
        <v>748</v>
      </c>
      <c r="I471">
        <v>3</v>
      </c>
      <c r="J471">
        <v>616</v>
      </c>
      <c r="K471" t="s">
        <v>22</v>
      </c>
      <c r="P471" t="s">
        <v>151</v>
      </c>
      <c r="Q471" t="s">
        <v>152</v>
      </c>
      <c r="R471" t="s">
        <v>23</v>
      </c>
    </row>
    <row r="472" spans="1:19" x14ac:dyDescent="0.25">
      <c r="A472" t="s">
        <v>159</v>
      </c>
      <c r="F472">
        <v>9</v>
      </c>
      <c r="H472">
        <v>748</v>
      </c>
      <c r="I472">
        <v>1</v>
      </c>
      <c r="P472" t="s">
        <v>153</v>
      </c>
      <c r="Q472" t="s">
        <v>25</v>
      </c>
      <c r="R472" t="s">
        <v>23</v>
      </c>
    </row>
    <row r="473" spans="1:19" x14ac:dyDescent="0.25">
      <c r="F473">
        <v>9</v>
      </c>
      <c r="H473">
        <v>748</v>
      </c>
      <c r="I473">
        <v>2</v>
      </c>
      <c r="P473" t="s">
        <v>160</v>
      </c>
      <c r="Q473" t="s">
        <v>90</v>
      </c>
      <c r="R473" t="s">
        <v>23</v>
      </c>
    </row>
    <row r="474" spans="1:19" x14ac:dyDescent="0.25">
      <c r="D474">
        <v>11</v>
      </c>
      <c r="E474">
        <v>80</v>
      </c>
      <c r="F474">
        <v>2</v>
      </c>
      <c r="H474">
        <v>748</v>
      </c>
      <c r="I474">
        <v>2</v>
      </c>
      <c r="M474" s="1" t="s">
        <v>27</v>
      </c>
      <c r="N474" t="s">
        <v>154</v>
      </c>
      <c r="O474" s="1" t="s">
        <v>27</v>
      </c>
      <c r="Q474" t="s">
        <v>25</v>
      </c>
      <c r="R474" t="s">
        <v>32</v>
      </c>
    </row>
    <row r="475" spans="1:19" x14ac:dyDescent="0.25">
      <c r="F475">
        <v>8</v>
      </c>
      <c r="H475">
        <v>748</v>
      </c>
      <c r="I475">
        <v>3</v>
      </c>
      <c r="M475" s="1" t="s">
        <v>27</v>
      </c>
      <c r="N475" t="s">
        <v>157</v>
      </c>
      <c r="O475" s="1" t="s">
        <v>27</v>
      </c>
      <c r="Q475" t="s">
        <v>25</v>
      </c>
      <c r="R475" t="s">
        <v>23</v>
      </c>
    </row>
    <row r="476" spans="1:19" x14ac:dyDescent="0.25">
      <c r="A476" t="s">
        <v>155</v>
      </c>
      <c r="F476">
        <v>8</v>
      </c>
      <c r="H476">
        <v>748</v>
      </c>
      <c r="I476">
        <v>4</v>
      </c>
      <c r="J476">
        <v>156</v>
      </c>
      <c r="K476" t="s">
        <v>22</v>
      </c>
      <c r="M476" s="1" t="s">
        <v>27</v>
      </c>
      <c r="N476" t="s">
        <v>156</v>
      </c>
      <c r="O476" s="1" t="s">
        <v>27</v>
      </c>
      <c r="Q476" t="s">
        <v>25</v>
      </c>
      <c r="R476" t="s">
        <v>23</v>
      </c>
    </row>
    <row r="477" spans="1:19" x14ac:dyDescent="0.25">
      <c r="F477">
        <v>9</v>
      </c>
      <c r="H477">
        <v>748</v>
      </c>
      <c r="I477">
        <v>1</v>
      </c>
      <c r="M477" s="1" t="s">
        <v>27</v>
      </c>
      <c r="N477" t="s">
        <v>162</v>
      </c>
      <c r="O477" s="1" t="s">
        <v>27</v>
      </c>
      <c r="Q477" t="s">
        <v>25</v>
      </c>
      <c r="R477" t="s">
        <v>23</v>
      </c>
    </row>
    <row r="478" spans="1:19" x14ac:dyDescent="0.25">
      <c r="A478" t="s">
        <v>158</v>
      </c>
      <c r="F478">
        <v>9</v>
      </c>
      <c r="H478">
        <v>748</v>
      </c>
      <c r="I478">
        <v>2</v>
      </c>
      <c r="M478" s="1" t="s">
        <v>27</v>
      </c>
      <c r="N478" t="s">
        <v>163</v>
      </c>
      <c r="O478" s="1" t="s">
        <v>27</v>
      </c>
      <c r="P478" t="s">
        <v>161</v>
      </c>
      <c r="Q478" t="s">
        <v>90</v>
      </c>
      <c r="R478" t="s">
        <v>23</v>
      </c>
    </row>
    <row r="479" spans="1:19" x14ac:dyDescent="0.25">
      <c r="F479">
        <v>16</v>
      </c>
      <c r="H479">
        <v>748</v>
      </c>
      <c r="I479">
        <v>1</v>
      </c>
      <c r="J479">
        <v>544</v>
      </c>
      <c r="K479" t="s">
        <v>22</v>
      </c>
      <c r="M479" s="1" t="s">
        <v>27</v>
      </c>
      <c r="N479" t="s">
        <v>164</v>
      </c>
      <c r="O479" s="1" t="s">
        <v>27</v>
      </c>
      <c r="Q479" t="s">
        <v>19</v>
      </c>
      <c r="R479" t="s">
        <v>20</v>
      </c>
      <c r="S479">
        <v>1</v>
      </c>
    </row>
    <row r="480" spans="1:19" x14ac:dyDescent="0.25">
      <c r="B480" t="s">
        <v>165</v>
      </c>
      <c r="C480" t="s">
        <v>166</v>
      </c>
      <c r="D480">
        <v>0</v>
      </c>
      <c r="E480">
        <v>80</v>
      </c>
      <c r="F480">
        <v>1</v>
      </c>
      <c r="H480">
        <v>748</v>
      </c>
      <c r="I480">
        <v>1</v>
      </c>
      <c r="J480">
        <v>589</v>
      </c>
      <c r="K480" t="s">
        <v>22</v>
      </c>
      <c r="Q480" t="s">
        <v>19</v>
      </c>
      <c r="R480" t="s">
        <v>32</v>
      </c>
      <c r="S480">
        <v>1</v>
      </c>
    </row>
    <row r="481" spans="1:19" x14ac:dyDescent="0.25">
      <c r="F481">
        <v>2</v>
      </c>
      <c r="H481">
        <v>748</v>
      </c>
      <c r="I481">
        <v>1</v>
      </c>
      <c r="Q481" t="s">
        <v>25</v>
      </c>
      <c r="R481" t="s">
        <v>23</v>
      </c>
      <c r="S481">
        <v>1</v>
      </c>
    </row>
    <row r="482" spans="1:19" x14ac:dyDescent="0.25">
      <c r="F482">
        <v>3</v>
      </c>
      <c r="H482">
        <v>748</v>
      </c>
      <c r="I482">
        <v>1</v>
      </c>
      <c r="J482">
        <v>101</v>
      </c>
      <c r="K482" t="s">
        <v>22</v>
      </c>
      <c r="Q482" t="s">
        <v>25</v>
      </c>
      <c r="R482" t="s">
        <v>32</v>
      </c>
      <c r="S482">
        <v>1</v>
      </c>
    </row>
    <row r="483" spans="1:19" x14ac:dyDescent="0.25">
      <c r="F483">
        <v>3</v>
      </c>
      <c r="H483">
        <v>748</v>
      </c>
      <c r="I483">
        <v>2</v>
      </c>
      <c r="J483">
        <v>474</v>
      </c>
      <c r="K483" t="s">
        <v>22</v>
      </c>
      <c r="Q483" t="s">
        <v>19</v>
      </c>
      <c r="R483" t="s">
        <v>20</v>
      </c>
    </row>
    <row r="484" spans="1:19" x14ac:dyDescent="0.25">
      <c r="F484">
        <v>4</v>
      </c>
      <c r="H484">
        <v>748</v>
      </c>
      <c r="I484">
        <v>1</v>
      </c>
      <c r="J484">
        <v>211</v>
      </c>
      <c r="K484" t="s">
        <v>22</v>
      </c>
      <c r="Q484" t="s">
        <v>19</v>
      </c>
      <c r="R484" t="s">
        <v>23</v>
      </c>
      <c r="S484">
        <v>3</v>
      </c>
    </row>
    <row r="485" spans="1:19" x14ac:dyDescent="0.25">
      <c r="D485">
        <v>1</v>
      </c>
      <c r="E485">
        <v>80</v>
      </c>
      <c r="F485">
        <v>1</v>
      </c>
      <c r="H485">
        <v>748</v>
      </c>
      <c r="I485">
        <v>1</v>
      </c>
      <c r="Q485" t="s">
        <v>19</v>
      </c>
      <c r="R485" t="s">
        <v>32</v>
      </c>
    </row>
    <row r="486" spans="1:19" x14ac:dyDescent="0.25">
      <c r="F486">
        <v>2</v>
      </c>
      <c r="H486">
        <v>748</v>
      </c>
      <c r="I486">
        <v>1</v>
      </c>
      <c r="Q486" t="s">
        <v>25</v>
      </c>
      <c r="R486" t="s">
        <v>23</v>
      </c>
    </row>
    <row r="487" spans="1:19" x14ac:dyDescent="0.25">
      <c r="F487">
        <v>3</v>
      </c>
      <c r="H487">
        <v>748</v>
      </c>
      <c r="I487">
        <v>1</v>
      </c>
      <c r="Q487" t="s">
        <v>25</v>
      </c>
      <c r="R487" t="s">
        <v>32</v>
      </c>
    </row>
    <row r="488" spans="1:19" x14ac:dyDescent="0.25">
      <c r="F488">
        <v>3</v>
      </c>
      <c r="H488">
        <v>748</v>
      </c>
      <c r="I488">
        <v>2</v>
      </c>
      <c r="L488">
        <v>216</v>
      </c>
      <c r="M488" t="s">
        <v>30</v>
      </c>
      <c r="N488">
        <f>216+748*1-474+1</f>
        <v>491</v>
      </c>
      <c r="O488">
        <f>N488*80</f>
        <v>39280</v>
      </c>
      <c r="Q488" t="s">
        <v>19</v>
      </c>
      <c r="R488" t="s">
        <v>32</v>
      </c>
    </row>
    <row r="489" spans="1:19" x14ac:dyDescent="0.25">
      <c r="F489">
        <v>4</v>
      </c>
      <c r="H489">
        <v>748</v>
      </c>
      <c r="I489">
        <v>1</v>
      </c>
    </row>
    <row r="490" spans="1:19" x14ac:dyDescent="0.25">
      <c r="A490" t="s">
        <v>170</v>
      </c>
      <c r="F490">
        <v>5</v>
      </c>
      <c r="H490">
        <v>748</v>
      </c>
      <c r="I490">
        <v>1</v>
      </c>
      <c r="J490">
        <v>215</v>
      </c>
      <c r="K490" t="s">
        <v>22</v>
      </c>
      <c r="P490" t="s">
        <v>167</v>
      </c>
      <c r="Q490" t="s">
        <v>25</v>
      </c>
      <c r="R490" t="s">
        <v>20</v>
      </c>
      <c r="S490">
        <v>1</v>
      </c>
    </row>
    <row r="491" spans="1:19" x14ac:dyDescent="0.25">
      <c r="F491">
        <v>6</v>
      </c>
      <c r="H491">
        <v>748</v>
      </c>
      <c r="I491">
        <v>1</v>
      </c>
      <c r="J491">
        <v>38</v>
      </c>
      <c r="K491" t="s">
        <v>22</v>
      </c>
      <c r="Q491" t="s">
        <v>25</v>
      </c>
      <c r="R491" t="s">
        <v>40</v>
      </c>
      <c r="S491">
        <v>1</v>
      </c>
    </row>
    <row r="492" spans="1:19" x14ac:dyDescent="0.25">
      <c r="D492">
        <v>2</v>
      </c>
      <c r="E492">
        <v>80</v>
      </c>
      <c r="F492">
        <v>1</v>
      </c>
      <c r="H492">
        <v>748</v>
      </c>
      <c r="I492">
        <v>1</v>
      </c>
      <c r="Q492" t="s">
        <v>19</v>
      </c>
      <c r="R492" t="s">
        <v>32</v>
      </c>
    </row>
    <row r="493" spans="1:19" x14ac:dyDescent="0.25">
      <c r="F493">
        <v>1</v>
      </c>
      <c r="H493">
        <v>748</v>
      </c>
      <c r="I493">
        <v>2</v>
      </c>
      <c r="J493">
        <v>93</v>
      </c>
      <c r="K493" t="s">
        <v>22</v>
      </c>
      <c r="P493" t="s">
        <v>168</v>
      </c>
      <c r="Q493" t="s">
        <v>25</v>
      </c>
      <c r="R493" t="s">
        <v>32</v>
      </c>
    </row>
    <row r="494" spans="1:19" x14ac:dyDescent="0.25">
      <c r="F494">
        <v>2</v>
      </c>
      <c r="H494">
        <v>748</v>
      </c>
      <c r="I494">
        <v>1</v>
      </c>
      <c r="Q494" t="s">
        <v>25</v>
      </c>
      <c r="R494" t="s">
        <v>23</v>
      </c>
    </row>
    <row r="495" spans="1:19" x14ac:dyDescent="0.25">
      <c r="F495">
        <v>3</v>
      </c>
      <c r="H495">
        <v>748</v>
      </c>
      <c r="I495">
        <v>1</v>
      </c>
      <c r="Q495" t="s">
        <v>38</v>
      </c>
      <c r="R495" t="s">
        <v>32</v>
      </c>
    </row>
    <row r="496" spans="1:19" x14ac:dyDescent="0.25">
      <c r="F496">
        <v>4</v>
      </c>
      <c r="H496">
        <v>748</v>
      </c>
      <c r="I496">
        <v>1</v>
      </c>
      <c r="L496">
        <v>213</v>
      </c>
      <c r="M496" t="s">
        <v>30</v>
      </c>
      <c r="N496">
        <f>213+748*2-211+1</f>
        <v>1499</v>
      </c>
      <c r="O496">
        <f>N496*80</f>
        <v>119920</v>
      </c>
      <c r="Q496" t="s">
        <v>19</v>
      </c>
    </row>
    <row r="497" spans="1:19" x14ac:dyDescent="0.25">
      <c r="A497" t="s">
        <v>170</v>
      </c>
      <c r="F497">
        <v>5</v>
      </c>
      <c r="H497">
        <v>748</v>
      </c>
      <c r="I497">
        <v>1</v>
      </c>
      <c r="Q497" t="s">
        <v>25</v>
      </c>
      <c r="R497" t="s">
        <v>169</v>
      </c>
    </row>
    <row r="498" spans="1:19" x14ac:dyDescent="0.25">
      <c r="F498">
        <v>6</v>
      </c>
      <c r="H498">
        <v>748</v>
      </c>
      <c r="I498">
        <v>1</v>
      </c>
      <c r="P498" t="s">
        <v>31</v>
      </c>
      <c r="Q498" t="s">
        <v>25</v>
      </c>
      <c r="R498" t="s">
        <v>32</v>
      </c>
    </row>
    <row r="499" spans="1:19" x14ac:dyDescent="0.25">
      <c r="F499">
        <v>7</v>
      </c>
      <c r="H499">
        <v>748</v>
      </c>
      <c r="I499" s="1" t="s">
        <v>27</v>
      </c>
      <c r="P499" t="s">
        <v>57</v>
      </c>
    </row>
    <row r="500" spans="1:19" x14ac:dyDescent="0.25">
      <c r="F500">
        <v>8</v>
      </c>
      <c r="H500">
        <v>748</v>
      </c>
      <c r="I500">
        <v>1</v>
      </c>
      <c r="J500">
        <v>618</v>
      </c>
      <c r="K500" t="s">
        <v>54</v>
      </c>
      <c r="Q500" t="s">
        <v>65</v>
      </c>
      <c r="R500" t="s">
        <v>32</v>
      </c>
      <c r="S500">
        <v>2</v>
      </c>
    </row>
    <row r="501" spans="1:19" x14ac:dyDescent="0.25">
      <c r="D501">
        <v>3</v>
      </c>
      <c r="E501">
        <v>80</v>
      </c>
      <c r="F501">
        <v>1</v>
      </c>
      <c r="H501">
        <v>748</v>
      </c>
      <c r="I501">
        <v>1</v>
      </c>
      <c r="Q501" t="s">
        <v>19</v>
      </c>
      <c r="R501" t="s">
        <v>40</v>
      </c>
    </row>
    <row r="502" spans="1:19" x14ac:dyDescent="0.25">
      <c r="F502">
        <v>1</v>
      </c>
      <c r="H502">
        <v>748</v>
      </c>
      <c r="I502">
        <v>2</v>
      </c>
      <c r="L502">
        <v>454</v>
      </c>
      <c r="M502" t="s">
        <v>24</v>
      </c>
      <c r="N502">
        <f>454+748-93+1</f>
        <v>1110</v>
      </c>
      <c r="O502">
        <f>N502*80</f>
        <v>88800</v>
      </c>
      <c r="Q502" t="s">
        <v>25</v>
      </c>
      <c r="R502" t="s">
        <v>40</v>
      </c>
    </row>
    <row r="503" spans="1:19" x14ac:dyDescent="0.25">
      <c r="F503">
        <v>2</v>
      </c>
      <c r="H503">
        <v>748</v>
      </c>
      <c r="I503">
        <v>1</v>
      </c>
      <c r="Q503" t="s">
        <v>25</v>
      </c>
      <c r="R503" t="s">
        <v>23</v>
      </c>
    </row>
    <row r="504" spans="1:19" x14ac:dyDescent="0.25">
      <c r="F504">
        <v>3</v>
      </c>
      <c r="H504">
        <v>748</v>
      </c>
      <c r="I504">
        <v>1</v>
      </c>
      <c r="Q504" t="s">
        <v>38</v>
      </c>
      <c r="R504" t="s">
        <v>32</v>
      </c>
    </row>
    <row r="505" spans="1:19" x14ac:dyDescent="0.25">
      <c r="F505">
        <v>5</v>
      </c>
      <c r="H505">
        <v>748</v>
      </c>
      <c r="I505">
        <v>1</v>
      </c>
      <c r="Q505" t="s">
        <v>25</v>
      </c>
      <c r="R505" t="s">
        <v>23</v>
      </c>
    </row>
    <row r="506" spans="1:19" x14ac:dyDescent="0.25">
      <c r="F506">
        <v>6</v>
      </c>
      <c r="H506">
        <v>748</v>
      </c>
      <c r="I506">
        <v>1</v>
      </c>
      <c r="P506" t="s">
        <v>31</v>
      </c>
      <c r="Q506" t="s">
        <v>25</v>
      </c>
      <c r="R506" t="s">
        <v>20</v>
      </c>
    </row>
    <row r="507" spans="1:19" x14ac:dyDescent="0.25">
      <c r="F507">
        <v>7</v>
      </c>
      <c r="H507">
        <v>748</v>
      </c>
      <c r="I507" s="1" t="s">
        <v>27</v>
      </c>
      <c r="P507" t="s">
        <v>57</v>
      </c>
    </row>
    <row r="508" spans="1:19" x14ac:dyDescent="0.25">
      <c r="A508" t="s">
        <v>172</v>
      </c>
      <c r="F508">
        <v>8</v>
      </c>
      <c r="H508">
        <v>748</v>
      </c>
      <c r="I508">
        <v>1</v>
      </c>
      <c r="L508">
        <v>441</v>
      </c>
      <c r="M508" t="s">
        <v>30</v>
      </c>
      <c r="N508">
        <f>441+748-618+1</f>
        <v>572</v>
      </c>
      <c r="O508" s="1" t="s">
        <v>175</v>
      </c>
      <c r="P508" t="s">
        <v>174</v>
      </c>
      <c r="Q508" t="s">
        <v>173</v>
      </c>
      <c r="R508" t="s">
        <v>23</v>
      </c>
    </row>
    <row r="509" spans="1:19" x14ac:dyDescent="0.25">
      <c r="F509">
        <v>9</v>
      </c>
      <c r="H509">
        <v>748</v>
      </c>
      <c r="I509">
        <v>1</v>
      </c>
      <c r="L509">
        <v>501</v>
      </c>
      <c r="M509" t="s">
        <v>30</v>
      </c>
      <c r="N509" t="s">
        <v>176</v>
      </c>
      <c r="O509" s="1" t="s">
        <v>27</v>
      </c>
      <c r="P509" t="s">
        <v>31</v>
      </c>
      <c r="Q509" t="s">
        <v>19</v>
      </c>
      <c r="R509" t="s">
        <v>32</v>
      </c>
      <c r="S509">
        <v>3</v>
      </c>
    </row>
    <row r="510" spans="1:19" x14ac:dyDescent="0.25">
      <c r="D510">
        <v>4</v>
      </c>
      <c r="E510">
        <v>80</v>
      </c>
      <c r="F510">
        <v>1</v>
      </c>
      <c r="H510">
        <v>748</v>
      </c>
      <c r="I510">
        <v>1</v>
      </c>
      <c r="Q510" t="s">
        <v>19</v>
      </c>
      <c r="R510" t="s">
        <v>32</v>
      </c>
    </row>
    <row r="511" spans="1:19" x14ac:dyDescent="0.25">
      <c r="F511">
        <v>2</v>
      </c>
      <c r="H511">
        <v>748</v>
      </c>
      <c r="I511">
        <v>1</v>
      </c>
      <c r="Q511" t="s">
        <v>25</v>
      </c>
      <c r="R511" t="s">
        <v>23</v>
      </c>
    </row>
    <row r="512" spans="1:19" x14ac:dyDescent="0.25">
      <c r="F512">
        <v>3</v>
      </c>
      <c r="H512">
        <v>748</v>
      </c>
      <c r="I512">
        <v>1</v>
      </c>
      <c r="Q512" t="s">
        <v>38</v>
      </c>
      <c r="R512" t="s">
        <v>23</v>
      </c>
    </row>
    <row r="513" spans="1:19" x14ac:dyDescent="0.25">
      <c r="F513">
        <v>5</v>
      </c>
      <c r="H513">
        <v>748</v>
      </c>
      <c r="I513">
        <v>1</v>
      </c>
      <c r="Q513" t="s">
        <v>25</v>
      </c>
      <c r="R513" t="s">
        <v>32</v>
      </c>
    </row>
    <row r="514" spans="1:19" x14ac:dyDescent="0.25">
      <c r="F514">
        <v>6</v>
      </c>
      <c r="H514">
        <v>748</v>
      </c>
      <c r="I514">
        <v>1</v>
      </c>
      <c r="Q514" t="s">
        <v>25</v>
      </c>
      <c r="R514" t="s">
        <v>20</v>
      </c>
    </row>
    <row r="515" spans="1:19" x14ac:dyDescent="0.25">
      <c r="F515">
        <v>7</v>
      </c>
      <c r="H515">
        <v>748</v>
      </c>
      <c r="I515" s="1" t="s">
        <v>27</v>
      </c>
      <c r="P515" t="s">
        <v>57</v>
      </c>
    </row>
    <row r="516" spans="1:19" x14ac:dyDescent="0.25">
      <c r="D516">
        <v>5</v>
      </c>
      <c r="E516">
        <v>80</v>
      </c>
      <c r="F516">
        <v>1</v>
      </c>
      <c r="H516">
        <v>748</v>
      </c>
      <c r="I516">
        <v>1</v>
      </c>
      <c r="Q516" t="s">
        <v>19</v>
      </c>
      <c r="R516" t="s">
        <v>40</v>
      </c>
    </row>
    <row r="517" spans="1:19" x14ac:dyDescent="0.25">
      <c r="F517">
        <v>2</v>
      </c>
      <c r="H517">
        <v>748</v>
      </c>
      <c r="I517">
        <v>1</v>
      </c>
      <c r="Q517" t="s">
        <v>25</v>
      </c>
      <c r="R517" t="s">
        <v>20</v>
      </c>
    </row>
    <row r="518" spans="1:19" x14ac:dyDescent="0.25">
      <c r="F518">
        <v>3</v>
      </c>
      <c r="H518">
        <v>748</v>
      </c>
      <c r="I518">
        <v>1</v>
      </c>
      <c r="Q518" t="s">
        <v>38</v>
      </c>
      <c r="R518" t="s">
        <v>20</v>
      </c>
    </row>
    <row r="519" spans="1:19" x14ac:dyDescent="0.25">
      <c r="F519">
        <v>5</v>
      </c>
      <c r="H519">
        <v>748</v>
      </c>
      <c r="I519">
        <v>1</v>
      </c>
      <c r="Q519" t="s">
        <v>25</v>
      </c>
      <c r="R519" t="s">
        <v>23</v>
      </c>
    </row>
    <row r="520" spans="1:19" x14ac:dyDescent="0.25">
      <c r="F520">
        <v>6</v>
      </c>
      <c r="H520">
        <v>748</v>
      </c>
      <c r="I520">
        <v>1</v>
      </c>
      <c r="P520" t="s">
        <v>31</v>
      </c>
      <c r="Q520" t="s">
        <v>25</v>
      </c>
      <c r="R520" t="s">
        <v>23</v>
      </c>
    </row>
    <row r="521" spans="1:19" x14ac:dyDescent="0.25">
      <c r="F521">
        <v>8</v>
      </c>
      <c r="H521">
        <v>748</v>
      </c>
      <c r="I521">
        <v>2</v>
      </c>
      <c r="J521">
        <v>38</v>
      </c>
      <c r="K521" t="s">
        <v>22</v>
      </c>
      <c r="L521">
        <v>278</v>
      </c>
      <c r="M521" t="s">
        <v>24</v>
      </c>
      <c r="N521">
        <f>278-38+1</f>
        <v>241</v>
      </c>
      <c r="O521">
        <f>N521*80</f>
        <v>19280</v>
      </c>
      <c r="Q521" t="s">
        <v>25</v>
      </c>
      <c r="R521" t="s">
        <v>40</v>
      </c>
    </row>
    <row r="522" spans="1:19" x14ac:dyDescent="0.25">
      <c r="F522">
        <v>8</v>
      </c>
      <c r="H522">
        <v>748</v>
      </c>
      <c r="I522">
        <v>3</v>
      </c>
      <c r="J522">
        <v>131</v>
      </c>
      <c r="K522" t="s">
        <v>22</v>
      </c>
      <c r="P522" t="s">
        <v>177</v>
      </c>
      <c r="Q522" t="s">
        <v>25</v>
      </c>
      <c r="R522" t="s">
        <v>32</v>
      </c>
    </row>
    <row r="523" spans="1:19" x14ac:dyDescent="0.25">
      <c r="F523">
        <v>10</v>
      </c>
      <c r="H523">
        <v>748</v>
      </c>
      <c r="I523" s="1" t="s">
        <v>27</v>
      </c>
      <c r="P523" t="s">
        <v>29</v>
      </c>
    </row>
    <row r="524" spans="1:19" x14ac:dyDescent="0.25">
      <c r="F524">
        <v>11</v>
      </c>
      <c r="H524">
        <v>748</v>
      </c>
      <c r="I524">
        <v>1</v>
      </c>
      <c r="J524">
        <v>297</v>
      </c>
      <c r="K524" t="s">
        <v>22</v>
      </c>
      <c r="Q524" t="s">
        <v>25</v>
      </c>
      <c r="R524" t="s">
        <v>32</v>
      </c>
      <c r="S524">
        <v>1</v>
      </c>
    </row>
    <row r="525" spans="1:19" x14ac:dyDescent="0.25">
      <c r="D525">
        <v>6</v>
      </c>
      <c r="E525">
        <v>80</v>
      </c>
      <c r="F525">
        <v>1</v>
      </c>
      <c r="H525">
        <v>748</v>
      </c>
      <c r="I525">
        <v>1</v>
      </c>
      <c r="Q525" t="s">
        <v>19</v>
      </c>
      <c r="R525" t="s">
        <v>40</v>
      </c>
    </row>
    <row r="526" spans="1:19" x14ac:dyDescent="0.25">
      <c r="A526" t="s">
        <v>178</v>
      </c>
      <c r="F526">
        <v>2</v>
      </c>
      <c r="H526">
        <v>748</v>
      </c>
      <c r="I526">
        <v>1</v>
      </c>
      <c r="Q526" t="s">
        <v>25</v>
      </c>
      <c r="R526" t="s">
        <v>20</v>
      </c>
    </row>
    <row r="527" spans="1:19" x14ac:dyDescent="0.25">
      <c r="F527">
        <v>3</v>
      </c>
      <c r="H527">
        <v>748</v>
      </c>
      <c r="I527">
        <v>1</v>
      </c>
      <c r="Q527" t="s">
        <v>38</v>
      </c>
      <c r="R527" t="s">
        <v>23</v>
      </c>
    </row>
    <row r="528" spans="1:19" x14ac:dyDescent="0.25">
      <c r="F528">
        <v>5</v>
      </c>
      <c r="H528">
        <v>748</v>
      </c>
      <c r="I528">
        <v>1</v>
      </c>
      <c r="Q528" t="s">
        <v>25</v>
      </c>
      <c r="R528" t="s">
        <v>20</v>
      </c>
    </row>
    <row r="529" spans="4:19" x14ac:dyDescent="0.25">
      <c r="F529">
        <v>6</v>
      </c>
      <c r="H529">
        <v>748</v>
      </c>
      <c r="I529">
        <v>1</v>
      </c>
      <c r="N529" t="s">
        <v>180</v>
      </c>
      <c r="O529" s="1" t="s">
        <v>27</v>
      </c>
      <c r="P529" t="s">
        <v>179</v>
      </c>
      <c r="Q529" t="s">
        <v>25</v>
      </c>
      <c r="R529" t="s">
        <v>20</v>
      </c>
    </row>
    <row r="530" spans="4:19" x14ac:dyDescent="0.25">
      <c r="F530">
        <v>8</v>
      </c>
      <c r="H530">
        <v>748</v>
      </c>
      <c r="I530">
        <v>3</v>
      </c>
      <c r="L530">
        <v>124</v>
      </c>
      <c r="M530" t="s">
        <v>24</v>
      </c>
      <c r="N530">
        <f>124+748*1-131+1</f>
        <v>742</v>
      </c>
      <c r="O530">
        <f>N530*80</f>
        <v>59360</v>
      </c>
      <c r="P530" t="s">
        <v>35</v>
      </c>
      <c r="Q530" t="s">
        <v>25</v>
      </c>
      <c r="R530" t="s">
        <v>32</v>
      </c>
    </row>
    <row r="531" spans="4:19" x14ac:dyDescent="0.25">
      <c r="F531">
        <v>10</v>
      </c>
      <c r="H531">
        <v>748</v>
      </c>
      <c r="I531" s="1" t="s">
        <v>27</v>
      </c>
      <c r="P531" t="s">
        <v>29</v>
      </c>
    </row>
    <row r="532" spans="4:19" x14ac:dyDescent="0.25">
      <c r="F532">
        <v>11</v>
      </c>
      <c r="H532">
        <v>748</v>
      </c>
      <c r="I532">
        <v>1</v>
      </c>
      <c r="L532">
        <v>731</v>
      </c>
      <c r="M532" t="s">
        <v>24</v>
      </c>
      <c r="N532">
        <f>731+748-297+1</f>
        <v>1183</v>
      </c>
      <c r="O532">
        <f>N532*80</f>
        <v>94640</v>
      </c>
      <c r="Q532" t="s">
        <v>25</v>
      </c>
      <c r="R532" t="s">
        <v>20</v>
      </c>
    </row>
    <row r="533" spans="4:19" x14ac:dyDescent="0.25">
      <c r="F533">
        <v>13</v>
      </c>
      <c r="H533">
        <v>748</v>
      </c>
      <c r="I533">
        <v>1</v>
      </c>
      <c r="J533">
        <v>539</v>
      </c>
      <c r="K533" t="s">
        <v>22</v>
      </c>
      <c r="Q533" t="s">
        <v>19</v>
      </c>
      <c r="R533" t="s">
        <v>20</v>
      </c>
      <c r="S533">
        <v>1</v>
      </c>
    </row>
    <row r="534" spans="4:19" x14ac:dyDescent="0.25">
      <c r="D534">
        <v>7</v>
      </c>
      <c r="E534">
        <v>80</v>
      </c>
      <c r="F534">
        <v>1</v>
      </c>
      <c r="H534">
        <v>748</v>
      </c>
      <c r="I534">
        <v>1</v>
      </c>
      <c r="Q534" t="s">
        <v>19</v>
      </c>
      <c r="R534" t="s">
        <v>40</v>
      </c>
    </row>
    <row r="535" spans="4:19" x14ac:dyDescent="0.25">
      <c r="F535">
        <v>2</v>
      </c>
      <c r="H535">
        <v>748</v>
      </c>
      <c r="I535">
        <v>1</v>
      </c>
      <c r="Q535" t="s">
        <v>25</v>
      </c>
      <c r="R535" t="s">
        <v>32</v>
      </c>
    </row>
    <row r="536" spans="4:19" x14ac:dyDescent="0.25">
      <c r="F536">
        <v>3</v>
      </c>
      <c r="H536">
        <v>748</v>
      </c>
      <c r="I536">
        <v>1</v>
      </c>
      <c r="Q536" t="s">
        <v>38</v>
      </c>
      <c r="R536" t="s">
        <v>40</v>
      </c>
    </row>
    <row r="537" spans="4:19" x14ac:dyDescent="0.25">
      <c r="F537">
        <v>5</v>
      </c>
      <c r="H537">
        <v>748</v>
      </c>
      <c r="I537">
        <v>1</v>
      </c>
      <c r="P537" t="s">
        <v>181</v>
      </c>
      <c r="Q537" t="s">
        <v>25</v>
      </c>
      <c r="R537" t="s">
        <v>20</v>
      </c>
    </row>
    <row r="538" spans="4:19" x14ac:dyDescent="0.25">
      <c r="F538">
        <v>9</v>
      </c>
      <c r="H538">
        <v>748</v>
      </c>
      <c r="I538" s="1" t="s">
        <v>27</v>
      </c>
      <c r="P538" t="s">
        <v>31</v>
      </c>
    </row>
    <row r="539" spans="4:19" x14ac:dyDescent="0.25">
      <c r="F539">
        <v>10</v>
      </c>
      <c r="H539">
        <v>748</v>
      </c>
      <c r="I539" s="1" t="s">
        <v>27</v>
      </c>
      <c r="P539" t="s">
        <v>29</v>
      </c>
    </row>
    <row r="540" spans="4:19" x14ac:dyDescent="0.25">
      <c r="F540">
        <v>12</v>
      </c>
      <c r="H540">
        <v>748</v>
      </c>
      <c r="I540" s="1" t="s">
        <v>27</v>
      </c>
      <c r="P540" t="s">
        <v>31</v>
      </c>
    </row>
    <row r="541" spans="4:19" x14ac:dyDescent="0.25">
      <c r="F541">
        <v>13</v>
      </c>
      <c r="H541">
        <v>748</v>
      </c>
      <c r="I541">
        <v>1</v>
      </c>
      <c r="Q541" t="s">
        <v>19</v>
      </c>
      <c r="R541" t="s">
        <v>23</v>
      </c>
    </row>
    <row r="542" spans="4:19" x14ac:dyDescent="0.25">
      <c r="D542">
        <v>8</v>
      </c>
      <c r="E542">
        <v>80</v>
      </c>
      <c r="F542">
        <v>1</v>
      </c>
      <c r="H542">
        <v>748</v>
      </c>
      <c r="I542">
        <v>1</v>
      </c>
      <c r="L542">
        <v>378</v>
      </c>
      <c r="M542" t="s">
        <v>30</v>
      </c>
      <c r="N542">
        <f>378+748*8-589+1</f>
        <v>5774</v>
      </c>
      <c r="O542">
        <f>N542*80</f>
        <v>461920</v>
      </c>
      <c r="Q542" t="s">
        <v>19</v>
      </c>
      <c r="R542" t="s">
        <v>40</v>
      </c>
    </row>
    <row r="543" spans="4:19" x14ac:dyDescent="0.25">
      <c r="F543">
        <v>2</v>
      </c>
      <c r="H543">
        <v>748</v>
      </c>
      <c r="I543">
        <v>1</v>
      </c>
      <c r="Q543" t="s">
        <v>25</v>
      </c>
      <c r="R543" t="s">
        <v>20</v>
      </c>
    </row>
    <row r="544" spans="4:19" x14ac:dyDescent="0.25">
      <c r="F544">
        <v>3</v>
      </c>
      <c r="H544">
        <v>748</v>
      </c>
      <c r="I544">
        <v>1</v>
      </c>
      <c r="L544">
        <v>293</v>
      </c>
      <c r="M544" t="s">
        <v>30</v>
      </c>
      <c r="N544">
        <f>293+748*8-101+1</f>
        <v>6177</v>
      </c>
      <c r="O544">
        <f>N544*80</f>
        <v>494160</v>
      </c>
      <c r="Q544" t="s">
        <v>38</v>
      </c>
      <c r="R544" t="s">
        <v>20</v>
      </c>
    </row>
    <row r="545" spans="1:19" x14ac:dyDescent="0.25">
      <c r="F545">
        <v>5</v>
      </c>
      <c r="H545">
        <v>748</v>
      </c>
      <c r="I545">
        <v>1</v>
      </c>
      <c r="Q545" t="s">
        <v>25</v>
      </c>
      <c r="R545" t="s">
        <v>28</v>
      </c>
    </row>
    <row r="546" spans="1:19" x14ac:dyDescent="0.25">
      <c r="F546">
        <v>9</v>
      </c>
      <c r="H546">
        <v>748</v>
      </c>
      <c r="I546" s="1" t="s">
        <v>27</v>
      </c>
      <c r="P546" t="s">
        <v>31</v>
      </c>
    </row>
    <row r="547" spans="1:19" x14ac:dyDescent="0.25">
      <c r="F547">
        <v>10</v>
      </c>
      <c r="H547">
        <v>748</v>
      </c>
      <c r="I547" s="1" t="s">
        <v>27</v>
      </c>
      <c r="P547" t="s">
        <v>29</v>
      </c>
    </row>
    <row r="548" spans="1:19" x14ac:dyDescent="0.25">
      <c r="F548">
        <v>13</v>
      </c>
      <c r="H548">
        <v>748</v>
      </c>
      <c r="I548">
        <v>1</v>
      </c>
      <c r="Q548" t="s">
        <v>19</v>
      </c>
      <c r="R548" t="s">
        <v>20</v>
      </c>
    </row>
    <row r="549" spans="1:19" x14ac:dyDescent="0.25">
      <c r="D549">
        <v>9</v>
      </c>
      <c r="E549">
        <v>80</v>
      </c>
      <c r="F549">
        <v>2</v>
      </c>
      <c r="H549">
        <v>748</v>
      </c>
      <c r="I549">
        <v>1</v>
      </c>
      <c r="Q549" t="s">
        <v>25</v>
      </c>
      <c r="R549" t="s">
        <v>32</v>
      </c>
    </row>
    <row r="550" spans="1:19" x14ac:dyDescent="0.25">
      <c r="F550">
        <v>3</v>
      </c>
      <c r="H550">
        <v>748</v>
      </c>
      <c r="I550" s="1" t="s">
        <v>27</v>
      </c>
    </row>
    <row r="551" spans="1:19" x14ac:dyDescent="0.25">
      <c r="F551">
        <v>5</v>
      </c>
      <c r="H551">
        <v>748</v>
      </c>
      <c r="I551">
        <v>1</v>
      </c>
      <c r="Q551" t="s">
        <v>25</v>
      </c>
      <c r="R551" t="s">
        <v>28</v>
      </c>
    </row>
    <row r="552" spans="1:19" x14ac:dyDescent="0.25">
      <c r="F552">
        <v>13</v>
      </c>
      <c r="H552">
        <v>748</v>
      </c>
      <c r="I552">
        <v>1</v>
      </c>
      <c r="Q552" t="s">
        <v>19</v>
      </c>
      <c r="R552" t="s">
        <v>20</v>
      </c>
    </row>
    <row r="553" spans="1:19" x14ac:dyDescent="0.25">
      <c r="D553">
        <v>10</v>
      </c>
      <c r="E553">
        <v>80</v>
      </c>
      <c r="F553">
        <v>2</v>
      </c>
      <c r="H553">
        <v>748</v>
      </c>
      <c r="I553">
        <v>1</v>
      </c>
      <c r="Q553" t="s">
        <v>25</v>
      </c>
      <c r="R553" t="s">
        <v>32</v>
      </c>
    </row>
    <row r="554" spans="1:19" x14ac:dyDescent="0.25">
      <c r="F554">
        <v>5</v>
      </c>
      <c r="H554">
        <v>748</v>
      </c>
      <c r="I554">
        <v>1</v>
      </c>
      <c r="P554" t="s">
        <v>35</v>
      </c>
      <c r="Q554" t="s">
        <v>25</v>
      </c>
      <c r="R554" t="s">
        <v>28</v>
      </c>
    </row>
    <row r="555" spans="1:19" x14ac:dyDescent="0.25">
      <c r="A555" t="s">
        <v>182</v>
      </c>
      <c r="F555">
        <v>14</v>
      </c>
      <c r="H555">
        <v>748</v>
      </c>
      <c r="I555">
        <v>1</v>
      </c>
      <c r="J555">
        <v>207</v>
      </c>
      <c r="K555" t="s">
        <v>22</v>
      </c>
      <c r="Q555" t="s">
        <v>25</v>
      </c>
      <c r="R555" t="s">
        <v>20</v>
      </c>
      <c r="S555">
        <v>1</v>
      </c>
    </row>
    <row r="556" spans="1:19" x14ac:dyDescent="0.25">
      <c r="F556">
        <v>15</v>
      </c>
      <c r="H556">
        <v>748</v>
      </c>
      <c r="I556" s="1" t="s">
        <v>27</v>
      </c>
      <c r="P556" t="s">
        <v>31</v>
      </c>
    </row>
    <row r="557" spans="1:19" x14ac:dyDescent="0.25">
      <c r="F557">
        <v>16</v>
      </c>
      <c r="H557">
        <v>748</v>
      </c>
      <c r="I557">
        <v>1</v>
      </c>
      <c r="J557">
        <v>497</v>
      </c>
      <c r="K557" t="s">
        <v>22</v>
      </c>
      <c r="Q557" t="s">
        <v>25</v>
      </c>
      <c r="R557" t="s">
        <v>23</v>
      </c>
      <c r="S557">
        <v>2</v>
      </c>
    </row>
    <row r="558" spans="1:19" x14ac:dyDescent="0.25">
      <c r="F558">
        <v>17</v>
      </c>
      <c r="H558">
        <v>748</v>
      </c>
      <c r="I558" s="1" t="s">
        <v>27</v>
      </c>
      <c r="R558" t="s">
        <v>20</v>
      </c>
      <c r="S558">
        <v>1</v>
      </c>
    </row>
    <row r="559" spans="1:19" x14ac:dyDescent="0.25">
      <c r="D559">
        <v>11</v>
      </c>
      <c r="E559">
        <v>80</v>
      </c>
      <c r="F559">
        <v>2</v>
      </c>
      <c r="H559">
        <v>748</v>
      </c>
      <c r="I559">
        <v>1</v>
      </c>
      <c r="M559" s="1" t="s">
        <v>27</v>
      </c>
      <c r="N559" t="s">
        <v>183</v>
      </c>
      <c r="O559" s="1" t="s">
        <v>27</v>
      </c>
      <c r="Q559" t="s">
        <v>25</v>
      </c>
      <c r="R559" t="s">
        <v>23</v>
      </c>
    </row>
    <row r="560" spans="1:19" x14ac:dyDescent="0.25">
      <c r="F560">
        <v>5</v>
      </c>
      <c r="H560">
        <v>748</v>
      </c>
      <c r="I560">
        <v>1</v>
      </c>
      <c r="M560" s="1" t="s">
        <v>27</v>
      </c>
      <c r="N560" t="s">
        <v>184</v>
      </c>
      <c r="O560" s="1" t="s">
        <v>27</v>
      </c>
      <c r="P560" t="s">
        <v>35</v>
      </c>
      <c r="Q560" t="s">
        <v>25</v>
      </c>
      <c r="R560" t="s">
        <v>28</v>
      </c>
    </row>
    <row r="561" spans="6:18" x14ac:dyDescent="0.25">
      <c r="F561">
        <v>14</v>
      </c>
      <c r="H561">
        <v>748</v>
      </c>
      <c r="I561">
        <v>1</v>
      </c>
      <c r="M561" s="1" t="s">
        <v>27</v>
      </c>
      <c r="N561" t="s">
        <v>185</v>
      </c>
      <c r="O561" s="1" t="s">
        <v>27</v>
      </c>
      <c r="Q561" t="s">
        <v>25</v>
      </c>
      <c r="R561" t="s">
        <v>28</v>
      </c>
    </row>
    <row r="562" spans="6:18" x14ac:dyDescent="0.25">
      <c r="F562">
        <v>15</v>
      </c>
      <c r="H562">
        <v>748</v>
      </c>
      <c r="I562" s="1" t="s">
        <v>27</v>
      </c>
      <c r="P562" t="s">
        <v>31</v>
      </c>
    </row>
    <row r="563" spans="6:18" x14ac:dyDescent="0.25">
      <c r="F563">
        <v>16</v>
      </c>
      <c r="H563">
        <v>748</v>
      </c>
      <c r="I563">
        <v>1</v>
      </c>
      <c r="L563">
        <v>216</v>
      </c>
      <c r="M563" t="s">
        <v>24</v>
      </c>
      <c r="N563">
        <f>216+748-497+1</f>
        <v>468</v>
      </c>
      <c r="O563">
        <f>N563*80</f>
        <v>37440</v>
      </c>
      <c r="Q563" t="s">
        <v>25</v>
      </c>
      <c r="R563" t="s">
        <v>20</v>
      </c>
    </row>
    <row r="564" spans="6:18" x14ac:dyDescent="0.25">
      <c r="F564">
        <v>17</v>
      </c>
      <c r="H564">
        <v>748</v>
      </c>
      <c r="I564">
        <v>1</v>
      </c>
      <c r="J564">
        <v>-999</v>
      </c>
      <c r="K564" t="s">
        <v>26</v>
      </c>
      <c r="M564" s="1" t="s">
        <v>27</v>
      </c>
      <c r="N564" t="s">
        <v>45</v>
      </c>
      <c r="P564" t="s">
        <v>186</v>
      </c>
      <c r="Q564" t="s">
        <v>38</v>
      </c>
      <c r="R5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2024-11-08T23:34:14Z</dcterms:modified>
</cp:coreProperties>
</file>