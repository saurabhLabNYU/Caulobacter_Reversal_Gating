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Rui_Zeng_Data\temp\processed\"/>
    </mc:Choice>
  </mc:AlternateContent>
  <xr:revisionPtr revIDLastSave="0" documentId="13_ncr:1_{A5395D9C-00D1-4936-8D02-3697CDD44400}" xr6:coauthVersionLast="47" xr6:coauthVersionMax="47" xr10:uidLastSave="{00000000-0000-0000-0000-000000000000}"/>
  <bookViews>
    <workbookView xWindow="8" yWindow="8" windowWidth="22485" windowHeight="14264" xr2:uid="{00000000-000D-0000-FFFF-FFFF00000000}"/>
  </bookViews>
  <sheets>
    <sheet name="ND2+jobs" sheetId="1" r:id="rId1"/>
    <sheet name="Job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3" i="1" l="1"/>
  <c r="N463" i="1"/>
  <c r="O463" i="1" s="1"/>
  <c r="N456" i="1"/>
  <c r="O456" i="1" s="1"/>
  <c r="N451" i="1"/>
  <c r="O451" i="1" s="1"/>
  <c r="N455" i="1"/>
  <c r="O455" i="1" s="1"/>
  <c r="N447" i="1"/>
  <c r="O447" i="1" s="1"/>
  <c r="N444" i="1"/>
  <c r="O444" i="1" s="1"/>
  <c r="N443" i="1"/>
  <c r="O443" i="1" s="1"/>
  <c r="N433" i="1"/>
  <c r="O433" i="1" s="1"/>
  <c r="N432" i="1"/>
  <c r="O432" i="1" s="1"/>
  <c r="N428" i="1"/>
  <c r="O428" i="1" s="1"/>
  <c r="N424" i="1"/>
  <c r="O424" i="1" s="1"/>
  <c r="N416" i="1"/>
  <c r="O416" i="1" s="1"/>
  <c r="O414" i="1"/>
  <c r="N405" i="1"/>
  <c r="O405" i="1" s="1"/>
  <c r="N402" i="1"/>
  <c r="O402" i="1" s="1"/>
  <c r="N394" i="1"/>
  <c r="O394" i="1" s="1"/>
  <c r="N395" i="1"/>
  <c r="O395" i="1" s="1"/>
  <c r="N390" i="1"/>
  <c r="O390" i="1" s="1"/>
  <c r="N381" i="1"/>
  <c r="O381" i="1" s="1"/>
  <c r="N380" i="1"/>
  <c r="O380" i="1" s="1"/>
  <c r="N364" i="1"/>
  <c r="O364" i="1" s="1"/>
  <c r="N352" i="1"/>
  <c r="O352" i="1" s="1"/>
  <c r="N350" i="1"/>
  <c r="O350" i="1" s="1"/>
  <c r="N349" i="1"/>
  <c r="O349" i="1" s="1"/>
  <c r="N346" i="1"/>
  <c r="O346" i="1" s="1"/>
  <c r="N341" i="1"/>
  <c r="O341" i="1" s="1"/>
  <c r="O340" i="1"/>
  <c r="N336" i="1"/>
  <c r="O336" i="1" s="1"/>
  <c r="N334" i="1"/>
  <c r="O334" i="1" s="1"/>
  <c r="N327" i="1"/>
  <c r="O327" i="1" s="1"/>
  <c r="N324" i="1"/>
  <c r="O324" i="1" s="1"/>
  <c r="N323" i="1"/>
  <c r="O323" i="1" s="1"/>
  <c r="N322" i="1"/>
  <c r="O322" i="1" s="1"/>
  <c r="N320" i="1"/>
  <c r="O320" i="1" s="1"/>
  <c r="N315" i="1"/>
  <c r="O315" i="1" s="1"/>
  <c r="N306" i="1"/>
  <c r="O306" i="1" s="1"/>
  <c r="N297" i="1"/>
  <c r="O297" i="1" s="1"/>
  <c r="N291" i="1"/>
  <c r="O291" i="1" s="1"/>
  <c r="N286" i="1"/>
  <c r="O286" i="1" s="1"/>
  <c r="N279" i="1"/>
  <c r="O279" i="1" s="1"/>
  <c r="N273" i="1"/>
  <c r="O273" i="1" s="1"/>
  <c r="N265" i="1"/>
  <c r="O265" i="1" s="1"/>
  <c r="N263" i="1"/>
  <c r="O263" i="1" s="1"/>
  <c r="N257" i="1"/>
  <c r="O257" i="1" s="1"/>
  <c r="N254" i="1"/>
  <c r="O254" i="1" s="1"/>
  <c r="N248" i="1"/>
  <c r="O248" i="1" s="1"/>
  <c r="N245" i="1"/>
  <c r="O245" i="1" s="1"/>
  <c r="N243" i="1"/>
  <c r="O243" i="1" s="1"/>
  <c r="N233" i="1"/>
  <c r="O233" i="1" s="1"/>
  <c r="N222" i="1"/>
  <c r="O222" i="1" s="1"/>
  <c r="N116" i="1"/>
  <c r="O116" i="1" s="1"/>
  <c r="N110" i="1"/>
  <c r="O110" i="1" s="1"/>
  <c r="N105" i="1"/>
  <c r="O105" i="1" s="1"/>
  <c r="N98" i="1"/>
  <c r="O98" i="1" s="1"/>
  <c r="N96" i="1"/>
  <c r="O96" i="1" s="1"/>
  <c r="N93" i="1"/>
  <c r="O93" i="1" s="1"/>
  <c r="N81" i="1"/>
  <c r="O81" i="1" s="1"/>
  <c r="N200" i="1"/>
  <c r="O200" i="1" s="1"/>
  <c r="N196" i="1"/>
  <c r="O196" i="1" s="1"/>
  <c r="N195" i="1"/>
  <c r="O195" i="1" s="1"/>
  <c r="N187" i="1"/>
  <c r="O187" i="1" s="1"/>
  <c r="N186" i="1"/>
  <c r="O186" i="1" s="1"/>
  <c r="N172" i="1"/>
  <c r="O172" i="1" s="1"/>
  <c r="N162" i="1"/>
  <c r="O162" i="1" s="1"/>
  <c r="N160" i="1"/>
  <c r="O160" i="1" s="1"/>
  <c r="N159" i="1"/>
  <c r="O159" i="1" s="1"/>
  <c r="N154" i="1"/>
  <c r="O154" i="1" s="1"/>
  <c r="N152" i="1"/>
  <c r="O152" i="1" s="1"/>
  <c r="N145" i="1"/>
  <c r="O145" i="1" s="1"/>
  <c r="N141" i="1"/>
  <c r="O141" i="1" s="1"/>
  <c r="N138" i="1"/>
  <c r="O138" i="1" s="1"/>
  <c r="N123" i="1"/>
  <c r="O123" i="1" s="1"/>
  <c r="N75" i="1"/>
  <c r="O75" i="1" s="1"/>
  <c r="N71" i="1"/>
  <c r="O71" i="1" s="1"/>
  <c r="N57" i="1"/>
  <c r="O57" i="1" s="1"/>
  <c r="N56" i="1"/>
  <c r="O56" i="1" s="1"/>
  <c r="N49" i="1"/>
  <c r="O49" i="1" s="1"/>
  <c r="N48" i="1"/>
  <c r="O48" i="1" s="1"/>
  <c r="S7" i="3" l="1"/>
  <c r="S6" i="3"/>
  <c r="S5" i="3"/>
  <c r="S4" i="3"/>
  <c r="S3" i="3"/>
  <c r="S2" i="3"/>
  <c r="O12" i="3"/>
  <c r="O11" i="3"/>
  <c r="O10" i="3"/>
  <c r="O9" i="3"/>
  <c r="O2" i="3" a="1"/>
  <c r="O2" i="3" s="1"/>
  <c r="K10" i="3"/>
  <c r="L10" i="3" s="1"/>
  <c r="K2" i="3" a="1"/>
  <c r="K2" i="3" s="1"/>
  <c r="K9" i="3"/>
  <c r="K11" i="3" s="1"/>
  <c r="O13" i="3" l="1"/>
  <c r="P10" i="3"/>
  <c r="P12" i="3"/>
  <c r="P9" i="3"/>
  <c r="P11" i="3"/>
  <c r="L9" i="3"/>
  <c r="L11" i="3" s="1"/>
  <c r="P1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<sst xmlns="http://schemas.openxmlformats.org/spreadsheetml/2006/main" count="1595" uniqueCount="190">
  <si>
    <t>Well</t>
  </si>
  <si>
    <t>video_index</t>
  </si>
  <si>
    <t>ROI_index</t>
  </si>
  <si>
    <t>entry via</t>
  </si>
  <si>
    <t>escape via</t>
  </si>
  <si>
    <t>capsule</t>
  </si>
  <si>
    <t>video</t>
  </si>
  <si>
    <t>forward/backward</t>
  </si>
  <si>
    <t>circling/skating/backward</t>
  </si>
  <si>
    <t>frame</t>
  </si>
  <si>
    <t>time interval (ms)</t>
  </si>
  <si>
    <t>ROI_info</t>
  </si>
  <si>
    <t>format</t>
  </si>
  <si>
    <t>b</t>
  </si>
  <si>
    <t>f</t>
  </si>
  <si>
    <t>m</t>
  </si>
  <si>
    <t>f/b or blank</t>
  </si>
  <si>
    <t>c/s/b or blank</t>
  </si>
  <si>
    <t>residence time</t>
  </si>
  <si>
    <t>/</t>
  </si>
  <si>
    <t>if cannot calculate, "/"</t>
  </si>
  <si>
    <t>entry</t>
  </si>
  <si>
    <t>escape</t>
  </si>
  <si>
    <t>Field</t>
  </si>
  <si>
    <t>the n_th bug in the same capsule; if multiple bugs, denoted as m (ignore index); if out of focus/field, denotes as "/"</t>
  </si>
  <si>
    <t>notes</t>
  </si>
  <si>
    <t>f_c</t>
  </si>
  <si>
    <t>total_frame</t>
  </si>
  <si>
    <t>small</t>
  </si>
  <si>
    <t>N</t>
  </si>
  <si>
    <t>bottom</t>
  </si>
  <si>
    <t>not</t>
  </si>
  <si>
    <t>1/2bottom</t>
  </si>
  <si>
    <t>blocked capsule (hole towards bottom;1/2 bottom; not blocked; blocked; blocked with spacing)</t>
  </si>
  <si>
    <t>spacing</t>
  </si>
  <si>
    <t>f_s</t>
  </si>
  <si>
    <t>blocked</t>
  </si>
  <si>
    <t>unknown</t>
  </si>
  <si>
    <t>residence time(ms)</t>
  </si>
  <si>
    <t>failed backward escape</t>
  </si>
  <si>
    <t xml:space="preserve">c, b, </t>
  </si>
  <si>
    <t xml:space="preserve">s, b, c, </t>
  </si>
  <si>
    <t xml:space="preserve">c/s, b, </t>
  </si>
  <si>
    <t>motion modes (not included multiple bugs) (c/s &amp; s/c: between skating and circling) (bi: impeded backward; bi/b: impeded backward+backward)</t>
  </si>
  <si>
    <t xml:space="preserve">b, c, </t>
  </si>
  <si>
    <t xml:space="preserve">c, bi, </t>
  </si>
  <si>
    <t>entry summary</t>
  </si>
  <si>
    <t>N_b</t>
  </si>
  <si>
    <t>N_f</t>
  </si>
  <si>
    <t>uniquevalues</t>
  </si>
  <si>
    <t>escape summary</t>
  </si>
  <si>
    <t>N_f_c</t>
  </si>
  <si>
    <t>N_f_s</t>
  </si>
  <si>
    <t>N_unknown</t>
  </si>
  <si>
    <t>percentile</t>
  </si>
  <si>
    <t>mean</t>
  </si>
  <si>
    <t>std</t>
  </si>
  <si>
    <t>residence time summary (s)</t>
  </si>
  <si>
    <t>max</t>
  </si>
  <si>
    <t>min</t>
  </si>
  <si>
    <t>median</t>
  </si>
  <si>
    <t xml:space="preserve">s, b, </t>
  </si>
  <si>
    <t>I20</t>
  </si>
  <si>
    <t>1-12</t>
  </si>
  <si>
    <t>[615] failed backward escape</t>
  </si>
  <si>
    <t>Bug_index (skip m)</t>
  </si>
  <si>
    <t>dimer</t>
  </si>
  <si>
    <t xml:space="preserve">b, c/s, </t>
  </si>
  <si>
    <t>m, skip</t>
  </si>
  <si>
    <t xml:space="preserve">b, s/c, </t>
  </si>
  <si>
    <t>[504] failed backward escape</t>
  </si>
  <si>
    <t xml:space="preserve">s, bi, </t>
  </si>
  <si>
    <t xml:space="preserve">b, s, </t>
  </si>
  <si>
    <t xml:space="preserve">c, b/bi, </t>
  </si>
  <si>
    <t>[146-748] stuck on hole from failed backward escape</t>
  </si>
  <si>
    <t xml:space="preserve">b, </t>
  </si>
  <si>
    <t>20240313_205214_702</t>
  </si>
  <si>
    <t>I21</t>
  </si>
  <si>
    <t>20240313_210710_628</t>
  </si>
  <si>
    <t>J16</t>
  </si>
  <si>
    <t xml:space="preserve">s, b/bi, </t>
  </si>
  <si>
    <t xml:space="preserve">c, </t>
  </si>
  <si>
    <t>clear skating+backward</t>
  </si>
  <si>
    <t xml:space="preserve">s/c, b, </t>
  </si>
  <si>
    <t xml:space="preserve">si, bi, </t>
  </si>
  <si>
    <t xml:space="preserve">s/si, bi, </t>
  </si>
  <si>
    <t>2+2</t>
  </si>
  <si>
    <t>hole number(multiple hole position: main hole + side hole)</t>
  </si>
  <si>
    <t>[320] backward stuck on hole, then out of focus</t>
  </si>
  <si>
    <t>out of focus</t>
  </si>
  <si>
    <t>same bug, escape via skating then enter via backward</t>
  </si>
  <si>
    <t>no events</t>
  </si>
  <si>
    <t>clear skating+backward; failed backward escape</t>
  </si>
  <si>
    <t>clear circling+backward</t>
  </si>
  <si>
    <t>mostly skating+backward, some transient circling</t>
  </si>
  <si>
    <t>s,</t>
  </si>
  <si>
    <t>when fast, skating, when slow, circling</t>
  </si>
  <si>
    <t xml:space="preserve">c, b, s, </t>
  </si>
  <si>
    <t xml:space="preserve">go out of focus, </t>
  </si>
  <si>
    <t xml:space="preserve">broken capsule: [42-50] attach then escape through hole. [54-64] backward entry. [159-201] forward then skating. </t>
  </si>
  <si>
    <t>failed backward escape *2; [665-748] after backward escape, switch to forward and stuck on hole</t>
  </si>
  <si>
    <t>backward becomes impeded backward</t>
  </si>
  <si>
    <t xml:space="preserve">broken capsule; [212-249] many transitions outside/around capsule; [344-355] come backward then leave; </t>
  </si>
  <si>
    <t>small capsule</t>
  </si>
  <si>
    <t>s, b/bi,</t>
  </si>
  <si>
    <t>c, b</t>
  </si>
  <si>
    <t>510+</t>
  </si>
  <si>
    <t>145+</t>
  </si>
  <si>
    <t>686+</t>
  </si>
  <si>
    <t>2561+</t>
  </si>
  <si>
    <t>79+</t>
  </si>
  <si>
    <t>not_captured</t>
  </si>
  <si>
    <t>20240313_212243_951</t>
  </si>
  <si>
    <t>analyzed on 20241025</t>
  </si>
  <si>
    <t>J17</t>
  </si>
  <si>
    <t>two bugs</t>
  </si>
  <si>
    <t>103+</t>
  </si>
  <si>
    <t xml:space="preserve">b/bi, c, </t>
  </si>
  <si>
    <t>250+</t>
  </si>
  <si>
    <t xml:space="preserve">b, c, s, </t>
  </si>
  <si>
    <t>m_2</t>
  </si>
  <si>
    <t>m_1</t>
  </si>
  <si>
    <t>outfield</t>
  </si>
  <si>
    <t>outfocus</t>
  </si>
  <si>
    <t xml:space="preserve">bi, </t>
  </si>
  <si>
    <t xml:space="preserve">bi, b, </t>
  </si>
  <si>
    <t>index_3 slower</t>
  </si>
  <si>
    <t>bi,</t>
  </si>
  <si>
    <t xml:space="preserve">b, s, bi, </t>
  </si>
  <si>
    <t>switch to circling after entering and touching wall</t>
  </si>
  <si>
    <t xml:space="preserve">bi, s, </t>
  </si>
  <si>
    <t>790+</t>
  </si>
  <si>
    <t>2936+</t>
  </si>
  <si>
    <t xml:space="preserve">b/bi, s, </t>
  </si>
  <si>
    <t>1030+</t>
  </si>
  <si>
    <t>2013+</t>
  </si>
  <si>
    <t>20240313_213725_340</t>
  </si>
  <si>
    <t>J18</t>
  </si>
  <si>
    <t xml:space="preserve">bi, c, b, </t>
  </si>
  <si>
    <t>23+</t>
  </si>
  <si>
    <t>s</t>
  </si>
  <si>
    <t xml:space="preserve">s, </t>
  </si>
  <si>
    <t>two bugs; index_1 slower</t>
  </si>
  <si>
    <t>185+</t>
  </si>
  <si>
    <t>399+</t>
  </si>
  <si>
    <t>181+</t>
  </si>
  <si>
    <t>same bug as index_1, but skating now</t>
  </si>
  <si>
    <t>circling-backward-stuck on hole-skating</t>
  </si>
  <si>
    <t>failed</t>
  </si>
  <si>
    <t xml:space="preserve">stuck on hole, and then switch to skating; </t>
  </si>
  <si>
    <t>620+</t>
  </si>
  <si>
    <t xml:space="preserve">b/bi, </t>
  </si>
  <si>
    <t xml:space="preserve">b, s, c, </t>
  </si>
  <si>
    <t>Forward: skating-circling-skating</t>
  </si>
  <si>
    <t>m_3</t>
  </si>
  <si>
    <t>index_4 slower</t>
  </si>
  <si>
    <t>[740-747] attached spin inside; skating-attached-video end</t>
  </si>
  <si>
    <t>attachment inside</t>
  </si>
  <si>
    <t>c, b,</t>
  </si>
  <si>
    <t xml:space="preserve">b, bi, c, </t>
  </si>
  <si>
    <t xml:space="preserve">b. c, </t>
  </si>
  <si>
    <t>like reflection [120-133]: backward-on hole-forward-backward-escape</t>
  </si>
  <si>
    <t>m_6</t>
  </si>
  <si>
    <t>three bugs</t>
  </si>
  <si>
    <t xml:space="preserve">bi, b, c, </t>
  </si>
  <si>
    <t>three bugs; index_678</t>
  </si>
  <si>
    <t>m_7</t>
  </si>
  <si>
    <t>m_8</t>
  </si>
  <si>
    <t>[316-328] stuck on hole: failed backward escape-stuck on hole-forward entry</t>
  </si>
  <si>
    <t>same bug as m_8</t>
  </si>
  <si>
    <t>fail twice</t>
  </si>
  <si>
    <t>m_9</t>
  </si>
  <si>
    <t>m_10</t>
  </si>
  <si>
    <t>abnormal circling</t>
  </si>
  <si>
    <t>3344+</t>
  </si>
  <si>
    <t xml:space="preserve">bi, c, </t>
  </si>
  <si>
    <t>779+</t>
  </si>
  <si>
    <t>20240313_215230_715</t>
  </si>
  <si>
    <t>J19</t>
  </si>
  <si>
    <t>483+</t>
  </si>
  <si>
    <t xml:space="preserve">b/bi, c, s, </t>
  </si>
  <si>
    <t xml:space="preserve">[1-368] circling+backward; [378-748] skating+backward; </t>
  </si>
  <si>
    <t>Forward: circling first, later skating</t>
  </si>
  <si>
    <t>956+</t>
  </si>
  <si>
    <t>1652+</t>
  </si>
  <si>
    <t>2976+</t>
  </si>
  <si>
    <t>378-407] failed f_c escape, stuck on hole; later backward entry</t>
  </si>
  <si>
    <t>5120+</t>
  </si>
  <si>
    <t>m_n2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</si>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</sst>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7"/>
  <sheetViews>
    <sheetView tabSelected="1" topLeftCell="A3" zoomScaleNormal="100" workbookViewId="0">
      <pane ySplit="1" topLeftCell="A433" activePane="bottomLeft" state="frozen"/>
      <selection activeCell="A3" sqref="A3"/>
      <selection pane="bottomLeft" activeCell="P452" sqref="P452"/>
    </sheetView>
  </sheetViews>
  <sheetFormatPr defaultRowHeight="14.25" x14ac:dyDescent="0.45"/>
  <cols>
    <col min="6" max="6" width="12" bestFit="1" customWidth="1"/>
    <col min="10" max="10" width="12" bestFit="1" customWidth="1"/>
  </cols>
  <sheetData>
    <row r="1" spans="1:19" x14ac:dyDescent="0.45">
      <c r="C1" t="s">
        <v>0</v>
      </c>
      <c r="D1" t="s">
        <v>6</v>
      </c>
      <c r="F1" t="s">
        <v>5</v>
      </c>
      <c r="K1" t="s">
        <v>7</v>
      </c>
      <c r="M1" t="s">
        <v>8</v>
      </c>
    </row>
    <row r="2" spans="1:19" x14ac:dyDescent="0.45">
      <c r="A2" t="s">
        <v>12</v>
      </c>
      <c r="I2" t="s">
        <v>24</v>
      </c>
      <c r="J2" t="s">
        <v>21</v>
      </c>
      <c r="K2" t="s">
        <v>16</v>
      </c>
      <c r="L2" t="s">
        <v>22</v>
      </c>
      <c r="M2" t="s">
        <v>17</v>
      </c>
      <c r="N2" t="s">
        <v>20</v>
      </c>
    </row>
    <row r="3" spans="1:19" x14ac:dyDescent="0.45">
      <c r="B3" t="s">
        <v>23</v>
      </c>
      <c r="C3" t="s">
        <v>0</v>
      </c>
      <c r="D3" t="s">
        <v>1</v>
      </c>
      <c r="E3" t="s">
        <v>10</v>
      </c>
      <c r="F3" t="s">
        <v>2</v>
      </c>
      <c r="G3" t="s">
        <v>11</v>
      </c>
      <c r="H3" t="s">
        <v>27</v>
      </c>
      <c r="I3" t="s">
        <v>65</v>
      </c>
      <c r="J3" t="s">
        <v>9</v>
      </c>
      <c r="K3" t="s">
        <v>3</v>
      </c>
      <c r="L3" t="s">
        <v>9</v>
      </c>
      <c r="M3" t="s">
        <v>4</v>
      </c>
      <c r="N3" t="s">
        <v>18</v>
      </c>
      <c r="O3" t="s">
        <v>38</v>
      </c>
      <c r="P3" t="s">
        <v>25</v>
      </c>
      <c r="Q3" t="s">
        <v>43</v>
      </c>
      <c r="R3" t="s">
        <v>33</v>
      </c>
      <c r="S3" t="s">
        <v>87</v>
      </c>
    </row>
    <row r="4" spans="1:19" x14ac:dyDescent="0.45">
      <c r="B4" s="1" t="s">
        <v>63</v>
      </c>
      <c r="C4" t="s">
        <v>62</v>
      </c>
      <c r="D4">
        <v>1</v>
      </c>
      <c r="E4">
        <v>80</v>
      </c>
      <c r="F4">
        <v>1</v>
      </c>
      <c r="H4">
        <v>748</v>
      </c>
      <c r="I4">
        <v>1</v>
      </c>
      <c r="Q4" t="s">
        <v>40</v>
      </c>
    </row>
    <row r="5" spans="1:19" x14ac:dyDescent="0.45">
      <c r="F5">
        <v>2</v>
      </c>
      <c r="I5">
        <v>1</v>
      </c>
      <c r="J5">
        <v>574</v>
      </c>
      <c r="K5" t="s">
        <v>13</v>
      </c>
      <c r="N5" s="1"/>
      <c r="Q5" t="s">
        <v>44</v>
      </c>
      <c r="R5" t="s">
        <v>31</v>
      </c>
      <c r="S5">
        <v>1</v>
      </c>
    </row>
    <row r="6" spans="1:19" x14ac:dyDescent="0.45">
      <c r="F6">
        <v>2</v>
      </c>
      <c r="I6" t="s">
        <v>120</v>
      </c>
      <c r="J6">
        <v>700</v>
      </c>
      <c r="K6" t="s">
        <v>13</v>
      </c>
      <c r="R6" t="s">
        <v>31</v>
      </c>
      <c r="S6">
        <v>1</v>
      </c>
    </row>
    <row r="7" spans="1:19" x14ac:dyDescent="0.45">
      <c r="F7">
        <v>3</v>
      </c>
      <c r="I7" t="s">
        <v>188</v>
      </c>
      <c r="P7" t="s">
        <v>64</v>
      </c>
    </row>
    <row r="8" spans="1:19" x14ac:dyDescent="0.45">
      <c r="D8">
        <v>2</v>
      </c>
      <c r="E8">
        <v>80</v>
      </c>
      <c r="F8">
        <v>1</v>
      </c>
      <c r="H8">
        <v>747</v>
      </c>
      <c r="I8">
        <v>1</v>
      </c>
      <c r="L8">
        <v>148</v>
      </c>
      <c r="M8" t="s">
        <v>13</v>
      </c>
      <c r="N8" s="1" t="s">
        <v>19</v>
      </c>
      <c r="Q8" t="s">
        <v>40</v>
      </c>
      <c r="R8" t="s">
        <v>31</v>
      </c>
      <c r="S8">
        <v>2</v>
      </c>
    </row>
    <row r="9" spans="1:19" x14ac:dyDescent="0.45">
      <c r="F9">
        <v>1</v>
      </c>
      <c r="I9">
        <v>2</v>
      </c>
      <c r="J9">
        <v>657</v>
      </c>
      <c r="K9" t="s">
        <v>13</v>
      </c>
      <c r="Q9" t="s">
        <v>13</v>
      </c>
      <c r="R9" t="s">
        <v>31</v>
      </c>
      <c r="S9">
        <v>2</v>
      </c>
    </row>
    <row r="10" spans="1:19" x14ac:dyDescent="0.45">
      <c r="F10">
        <v>2</v>
      </c>
      <c r="I10" t="s">
        <v>15</v>
      </c>
    </row>
    <row r="11" spans="1:19" x14ac:dyDescent="0.45">
      <c r="F11">
        <v>3</v>
      </c>
      <c r="I11" t="s">
        <v>15</v>
      </c>
    </row>
    <row r="12" spans="1:19" x14ac:dyDescent="0.45">
      <c r="F12">
        <v>4</v>
      </c>
      <c r="I12">
        <v>1</v>
      </c>
      <c r="J12">
        <v>361</v>
      </c>
      <c r="K12" t="s">
        <v>13</v>
      </c>
      <c r="Q12" t="s">
        <v>44</v>
      </c>
      <c r="R12" t="s">
        <v>34</v>
      </c>
      <c r="S12">
        <v>1</v>
      </c>
    </row>
    <row r="13" spans="1:19" x14ac:dyDescent="0.45">
      <c r="F13">
        <v>4</v>
      </c>
      <c r="I13" t="s">
        <v>15</v>
      </c>
      <c r="J13">
        <v>458</v>
      </c>
      <c r="K13" t="s">
        <v>14</v>
      </c>
      <c r="R13" t="s">
        <v>34</v>
      </c>
      <c r="S13">
        <v>1</v>
      </c>
    </row>
    <row r="14" spans="1:19" x14ac:dyDescent="0.45">
      <c r="F14">
        <v>4</v>
      </c>
      <c r="I14" t="s">
        <v>15</v>
      </c>
      <c r="L14">
        <v>725</v>
      </c>
      <c r="M14" t="s">
        <v>13</v>
      </c>
      <c r="N14" s="1" t="s">
        <v>19</v>
      </c>
      <c r="R14" t="s">
        <v>31</v>
      </c>
      <c r="S14">
        <v>1</v>
      </c>
    </row>
    <row r="15" spans="1:19" x14ac:dyDescent="0.45">
      <c r="F15">
        <v>5</v>
      </c>
      <c r="I15">
        <v>1</v>
      </c>
      <c r="L15">
        <v>584</v>
      </c>
      <c r="M15" t="s">
        <v>26</v>
      </c>
      <c r="N15" s="1" t="s">
        <v>19</v>
      </c>
      <c r="P15" t="s">
        <v>28</v>
      </c>
      <c r="Q15" t="s">
        <v>45</v>
      </c>
      <c r="R15" t="s">
        <v>31</v>
      </c>
      <c r="S15">
        <v>1</v>
      </c>
    </row>
    <row r="16" spans="1:19" x14ac:dyDescent="0.45">
      <c r="F16">
        <v>6</v>
      </c>
      <c r="I16" s="1" t="s">
        <v>19</v>
      </c>
      <c r="P16" t="s">
        <v>66</v>
      </c>
    </row>
    <row r="17" spans="4:19" x14ac:dyDescent="0.45">
      <c r="D17">
        <v>3</v>
      </c>
      <c r="E17">
        <v>80</v>
      </c>
      <c r="F17">
        <v>1</v>
      </c>
      <c r="H17">
        <v>748</v>
      </c>
      <c r="I17" t="s">
        <v>121</v>
      </c>
      <c r="J17">
        <v>41</v>
      </c>
      <c r="K17" t="s">
        <v>13</v>
      </c>
      <c r="R17" t="s">
        <v>31</v>
      </c>
      <c r="S17">
        <v>2</v>
      </c>
    </row>
    <row r="18" spans="4:19" x14ac:dyDescent="0.45">
      <c r="F18">
        <v>1</v>
      </c>
      <c r="I18" t="s">
        <v>120</v>
      </c>
      <c r="L18">
        <v>225</v>
      </c>
      <c r="M18" t="s">
        <v>35</v>
      </c>
      <c r="N18" s="1" t="s">
        <v>19</v>
      </c>
      <c r="R18" t="s">
        <v>31</v>
      </c>
      <c r="S18">
        <v>2</v>
      </c>
    </row>
    <row r="19" spans="4:19" x14ac:dyDescent="0.45">
      <c r="F19">
        <v>1</v>
      </c>
      <c r="I19">
        <v>3</v>
      </c>
      <c r="L19">
        <v>273</v>
      </c>
      <c r="M19" t="s">
        <v>13</v>
      </c>
      <c r="N19" s="1" t="s">
        <v>19</v>
      </c>
      <c r="R19" t="s">
        <v>31</v>
      </c>
      <c r="S19">
        <v>2</v>
      </c>
    </row>
    <row r="20" spans="4:19" x14ac:dyDescent="0.45">
      <c r="F20">
        <v>2</v>
      </c>
      <c r="I20" t="s">
        <v>15</v>
      </c>
      <c r="L20">
        <v>56</v>
      </c>
      <c r="M20" t="s">
        <v>26</v>
      </c>
      <c r="N20" s="1" t="s">
        <v>19</v>
      </c>
      <c r="R20" t="s">
        <v>31</v>
      </c>
      <c r="S20">
        <v>1</v>
      </c>
    </row>
    <row r="21" spans="4:19" x14ac:dyDescent="0.45">
      <c r="F21">
        <v>2</v>
      </c>
      <c r="I21" t="s">
        <v>15</v>
      </c>
      <c r="J21">
        <v>531</v>
      </c>
      <c r="K21" t="s">
        <v>13</v>
      </c>
      <c r="N21" s="1"/>
      <c r="R21" t="s">
        <v>31</v>
      </c>
      <c r="S21">
        <v>1</v>
      </c>
    </row>
    <row r="22" spans="4:19" x14ac:dyDescent="0.45">
      <c r="F22">
        <v>2</v>
      </c>
      <c r="I22" t="s">
        <v>15</v>
      </c>
      <c r="J22">
        <v>603</v>
      </c>
      <c r="K22" t="s">
        <v>14</v>
      </c>
      <c r="N22" s="1"/>
      <c r="R22" t="s">
        <v>31</v>
      </c>
      <c r="S22">
        <v>1</v>
      </c>
    </row>
    <row r="23" spans="4:19" x14ac:dyDescent="0.45">
      <c r="F23">
        <v>3</v>
      </c>
      <c r="I23" t="s">
        <v>15</v>
      </c>
      <c r="L23">
        <v>469</v>
      </c>
      <c r="M23" t="s">
        <v>13</v>
      </c>
      <c r="N23" s="1" t="s">
        <v>19</v>
      </c>
      <c r="R23" t="s">
        <v>31</v>
      </c>
      <c r="S23">
        <v>1</v>
      </c>
    </row>
    <row r="24" spans="4:19" x14ac:dyDescent="0.45">
      <c r="F24">
        <v>4</v>
      </c>
      <c r="I24">
        <v>2</v>
      </c>
      <c r="Q24" t="s">
        <v>40</v>
      </c>
    </row>
    <row r="25" spans="4:19" x14ac:dyDescent="0.45">
      <c r="F25">
        <v>6</v>
      </c>
      <c r="I25" s="1" t="s">
        <v>19</v>
      </c>
    </row>
    <row r="26" spans="4:19" x14ac:dyDescent="0.45">
      <c r="F26">
        <v>7</v>
      </c>
      <c r="I26">
        <v>1</v>
      </c>
      <c r="J26">
        <v>1</v>
      </c>
      <c r="K26" t="s">
        <v>13</v>
      </c>
      <c r="Q26" t="s">
        <v>67</v>
      </c>
      <c r="R26" t="s">
        <v>31</v>
      </c>
      <c r="S26">
        <v>1</v>
      </c>
    </row>
    <row r="27" spans="4:19" x14ac:dyDescent="0.45">
      <c r="F27">
        <v>7</v>
      </c>
      <c r="I27" t="s">
        <v>15</v>
      </c>
      <c r="J27">
        <v>371</v>
      </c>
      <c r="K27" t="s">
        <v>14</v>
      </c>
    </row>
    <row r="28" spans="4:19" x14ac:dyDescent="0.45">
      <c r="D28">
        <v>4</v>
      </c>
      <c r="E28">
        <v>80</v>
      </c>
      <c r="F28">
        <v>2</v>
      </c>
      <c r="H28">
        <v>747</v>
      </c>
      <c r="I28" t="s">
        <v>68</v>
      </c>
    </row>
    <row r="29" spans="4:19" x14ac:dyDescent="0.45">
      <c r="F29">
        <v>3</v>
      </c>
      <c r="I29">
        <v>1</v>
      </c>
      <c r="P29" t="s">
        <v>39</v>
      </c>
      <c r="Q29" t="s">
        <v>61</v>
      </c>
    </row>
    <row r="30" spans="4:19" x14ac:dyDescent="0.45">
      <c r="F30">
        <v>4</v>
      </c>
      <c r="I30" t="s">
        <v>15</v>
      </c>
      <c r="J30">
        <v>252</v>
      </c>
      <c r="K30" t="s">
        <v>13</v>
      </c>
      <c r="R30" t="s">
        <v>31</v>
      </c>
      <c r="S30">
        <v>1</v>
      </c>
    </row>
    <row r="31" spans="4:19" x14ac:dyDescent="0.45">
      <c r="F31">
        <v>7</v>
      </c>
      <c r="I31" s="1">
        <v>1</v>
      </c>
    </row>
    <row r="32" spans="4:19" x14ac:dyDescent="0.45">
      <c r="D32">
        <v>5</v>
      </c>
      <c r="E32">
        <v>80</v>
      </c>
      <c r="F32">
        <v>2</v>
      </c>
      <c r="H32">
        <v>748</v>
      </c>
      <c r="I32" s="1" t="s">
        <v>15</v>
      </c>
    </row>
    <row r="33" spans="4:19" x14ac:dyDescent="0.45">
      <c r="F33">
        <v>3</v>
      </c>
      <c r="I33">
        <v>1</v>
      </c>
      <c r="Q33" t="s">
        <v>61</v>
      </c>
    </row>
    <row r="34" spans="4:19" x14ac:dyDescent="0.45">
      <c r="F34">
        <v>4</v>
      </c>
      <c r="I34" t="s">
        <v>15</v>
      </c>
      <c r="L34">
        <v>432</v>
      </c>
      <c r="M34" t="s">
        <v>37</v>
      </c>
      <c r="N34" s="1" t="s">
        <v>19</v>
      </c>
      <c r="R34" t="s">
        <v>31</v>
      </c>
      <c r="S34">
        <v>1</v>
      </c>
    </row>
    <row r="35" spans="4:19" x14ac:dyDescent="0.45">
      <c r="F35">
        <v>4</v>
      </c>
      <c r="I35" t="s">
        <v>15</v>
      </c>
      <c r="L35">
        <v>457</v>
      </c>
      <c r="M35" t="s">
        <v>37</v>
      </c>
      <c r="N35" s="1" t="s">
        <v>19</v>
      </c>
      <c r="R35" t="s">
        <v>31</v>
      </c>
      <c r="S35">
        <v>1</v>
      </c>
    </row>
    <row r="36" spans="4:19" x14ac:dyDescent="0.45">
      <c r="F36">
        <v>4</v>
      </c>
      <c r="I36" t="s">
        <v>15</v>
      </c>
      <c r="L36">
        <v>480</v>
      </c>
      <c r="M36" t="s">
        <v>26</v>
      </c>
      <c r="N36" s="1" t="s">
        <v>19</v>
      </c>
      <c r="R36" t="s">
        <v>31</v>
      </c>
      <c r="S36">
        <v>1</v>
      </c>
    </row>
    <row r="37" spans="4:19" x14ac:dyDescent="0.45">
      <c r="F37">
        <v>6</v>
      </c>
      <c r="I37" s="1" t="s">
        <v>19</v>
      </c>
    </row>
    <row r="38" spans="4:19" x14ac:dyDescent="0.45">
      <c r="D38">
        <v>6</v>
      </c>
      <c r="E38">
        <v>80</v>
      </c>
      <c r="F38">
        <v>2</v>
      </c>
      <c r="H38">
        <v>748</v>
      </c>
      <c r="I38">
        <v>2</v>
      </c>
      <c r="L38">
        <v>387</v>
      </c>
      <c r="M38" t="s">
        <v>13</v>
      </c>
      <c r="N38" s="1" t="s">
        <v>19</v>
      </c>
      <c r="Q38" t="s">
        <v>44</v>
      </c>
      <c r="R38" t="s">
        <v>31</v>
      </c>
      <c r="S38">
        <v>1</v>
      </c>
    </row>
    <row r="39" spans="4:19" x14ac:dyDescent="0.45">
      <c r="F39">
        <v>3</v>
      </c>
      <c r="I39" t="s">
        <v>15</v>
      </c>
      <c r="J39">
        <v>541</v>
      </c>
      <c r="K39" t="s">
        <v>13</v>
      </c>
      <c r="R39" t="s">
        <v>31</v>
      </c>
      <c r="S39">
        <v>1</v>
      </c>
    </row>
    <row r="40" spans="4:19" x14ac:dyDescent="0.45">
      <c r="F40">
        <v>4</v>
      </c>
      <c r="I40">
        <v>3</v>
      </c>
      <c r="L40">
        <v>53</v>
      </c>
      <c r="M40" t="s">
        <v>13</v>
      </c>
      <c r="N40" s="1" t="s">
        <v>19</v>
      </c>
      <c r="Q40" t="s">
        <v>67</v>
      </c>
      <c r="R40" t="s">
        <v>36</v>
      </c>
      <c r="S40">
        <v>1</v>
      </c>
    </row>
    <row r="41" spans="4:19" x14ac:dyDescent="0.45">
      <c r="F41">
        <v>6</v>
      </c>
      <c r="I41" s="1" t="s">
        <v>19</v>
      </c>
    </row>
    <row r="42" spans="4:19" x14ac:dyDescent="0.45">
      <c r="F42">
        <v>7</v>
      </c>
      <c r="I42" t="s">
        <v>15</v>
      </c>
      <c r="L42">
        <v>628</v>
      </c>
      <c r="M42" t="s">
        <v>13</v>
      </c>
      <c r="N42" s="1" t="s">
        <v>19</v>
      </c>
      <c r="R42" t="s">
        <v>31</v>
      </c>
      <c r="S42">
        <v>1</v>
      </c>
    </row>
    <row r="43" spans="4:19" x14ac:dyDescent="0.45">
      <c r="D43">
        <v>7</v>
      </c>
      <c r="E43">
        <v>80</v>
      </c>
      <c r="F43">
        <v>1</v>
      </c>
      <c r="H43">
        <v>748</v>
      </c>
      <c r="I43">
        <v>4</v>
      </c>
      <c r="J43">
        <v>241</v>
      </c>
      <c r="K43" t="s">
        <v>14</v>
      </c>
      <c r="Q43" t="s">
        <v>69</v>
      </c>
      <c r="R43" t="s">
        <v>31</v>
      </c>
      <c r="S43">
        <v>2</v>
      </c>
    </row>
    <row r="44" spans="4:19" x14ac:dyDescent="0.45">
      <c r="F44">
        <v>3</v>
      </c>
      <c r="I44" t="s">
        <v>15</v>
      </c>
      <c r="L44">
        <v>684</v>
      </c>
      <c r="M44" t="s">
        <v>13</v>
      </c>
      <c r="N44" s="1" t="s">
        <v>19</v>
      </c>
      <c r="P44" t="s">
        <v>70</v>
      </c>
      <c r="R44" t="s">
        <v>31</v>
      </c>
      <c r="S44">
        <v>1</v>
      </c>
    </row>
    <row r="45" spans="4:19" x14ac:dyDescent="0.45">
      <c r="F45">
        <v>5</v>
      </c>
      <c r="I45">
        <v>2</v>
      </c>
      <c r="J45">
        <v>387</v>
      </c>
      <c r="K45" t="s">
        <v>14</v>
      </c>
      <c r="P45" t="s">
        <v>28</v>
      </c>
      <c r="Q45" t="s">
        <v>71</v>
      </c>
      <c r="R45" t="s">
        <v>31</v>
      </c>
      <c r="S45">
        <v>1</v>
      </c>
    </row>
    <row r="46" spans="4:19" x14ac:dyDescent="0.45">
      <c r="F46">
        <v>6</v>
      </c>
      <c r="I46" s="1" t="s">
        <v>19</v>
      </c>
    </row>
    <row r="47" spans="4:19" x14ac:dyDescent="0.45">
      <c r="F47">
        <v>7</v>
      </c>
      <c r="I47">
        <v>2</v>
      </c>
      <c r="Q47" t="s">
        <v>72</v>
      </c>
    </row>
    <row r="48" spans="4:19" x14ac:dyDescent="0.45">
      <c r="F48">
        <v>8</v>
      </c>
      <c r="I48">
        <v>1</v>
      </c>
      <c r="J48">
        <v>210</v>
      </c>
      <c r="K48" t="s">
        <v>14</v>
      </c>
      <c r="L48">
        <v>395</v>
      </c>
      <c r="M48" t="s">
        <v>13</v>
      </c>
      <c r="N48">
        <f>395+1-210</f>
        <v>186</v>
      </c>
      <c r="O48">
        <f>N48*80</f>
        <v>14880</v>
      </c>
      <c r="Q48" t="s">
        <v>40</v>
      </c>
      <c r="R48" t="s">
        <v>31</v>
      </c>
      <c r="S48">
        <v>1</v>
      </c>
    </row>
    <row r="49" spans="4:19" x14ac:dyDescent="0.45">
      <c r="D49">
        <v>8</v>
      </c>
      <c r="E49">
        <v>80</v>
      </c>
      <c r="F49">
        <v>1</v>
      </c>
      <c r="H49">
        <v>748</v>
      </c>
      <c r="I49">
        <v>4</v>
      </c>
      <c r="L49">
        <v>469</v>
      </c>
      <c r="M49" t="s">
        <v>13</v>
      </c>
      <c r="N49">
        <f>469+748+1-241</f>
        <v>977</v>
      </c>
      <c r="O49">
        <f>N49*80</f>
        <v>78160</v>
      </c>
      <c r="Q49" t="s">
        <v>40</v>
      </c>
      <c r="R49" t="s">
        <v>31</v>
      </c>
      <c r="S49">
        <v>2</v>
      </c>
    </row>
    <row r="50" spans="4:19" x14ac:dyDescent="0.45">
      <c r="F50">
        <v>3</v>
      </c>
      <c r="I50">
        <v>2</v>
      </c>
      <c r="Q50" t="s">
        <v>61</v>
      </c>
    </row>
    <row r="51" spans="4:19" x14ac:dyDescent="0.45">
      <c r="F51">
        <v>5</v>
      </c>
      <c r="I51">
        <v>2</v>
      </c>
      <c r="P51" t="s">
        <v>28</v>
      </c>
      <c r="Q51" t="s">
        <v>45</v>
      </c>
    </row>
    <row r="52" spans="4:19" x14ac:dyDescent="0.45">
      <c r="F52">
        <v>6</v>
      </c>
      <c r="I52" s="1" t="s">
        <v>19</v>
      </c>
      <c r="P52" t="s">
        <v>66</v>
      </c>
    </row>
    <row r="53" spans="4:19" x14ac:dyDescent="0.45">
      <c r="F53">
        <v>7</v>
      </c>
      <c r="I53">
        <v>2</v>
      </c>
      <c r="Q53" t="s">
        <v>61</v>
      </c>
    </row>
    <row r="54" spans="4:19" x14ac:dyDescent="0.45">
      <c r="F54">
        <v>8</v>
      </c>
      <c r="I54">
        <v>2</v>
      </c>
      <c r="J54">
        <v>53</v>
      </c>
      <c r="K54" t="s">
        <v>13</v>
      </c>
      <c r="Q54" t="s">
        <v>44</v>
      </c>
      <c r="R54" t="s">
        <v>31</v>
      </c>
      <c r="S54">
        <v>1</v>
      </c>
    </row>
    <row r="55" spans="4:19" x14ac:dyDescent="0.45">
      <c r="F55">
        <v>9</v>
      </c>
      <c r="I55">
        <v>1</v>
      </c>
      <c r="J55">
        <v>648</v>
      </c>
      <c r="K55" t="s">
        <v>13</v>
      </c>
      <c r="Q55" t="s">
        <v>44</v>
      </c>
      <c r="R55" t="s">
        <v>31</v>
      </c>
      <c r="S55">
        <v>1</v>
      </c>
    </row>
    <row r="56" spans="4:19" x14ac:dyDescent="0.45">
      <c r="D56">
        <v>9</v>
      </c>
      <c r="E56">
        <v>80</v>
      </c>
      <c r="F56">
        <v>1</v>
      </c>
      <c r="H56">
        <v>748</v>
      </c>
      <c r="I56">
        <v>5</v>
      </c>
      <c r="J56">
        <v>130</v>
      </c>
      <c r="K56" t="s">
        <v>14</v>
      </c>
      <c r="L56">
        <v>176</v>
      </c>
      <c r="M56" t="s">
        <v>13</v>
      </c>
      <c r="N56">
        <f>176+1-130</f>
        <v>47</v>
      </c>
      <c r="O56">
        <f>N56*80</f>
        <v>3760</v>
      </c>
      <c r="Q56" t="s">
        <v>61</v>
      </c>
      <c r="R56" t="s">
        <v>31</v>
      </c>
      <c r="S56">
        <v>2</v>
      </c>
    </row>
    <row r="57" spans="4:19" x14ac:dyDescent="0.45">
      <c r="F57">
        <v>1</v>
      </c>
      <c r="I57">
        <v>6</v>
      </c>
      <c r="J57">
        <v>221</v>
      </c>
      <c r="K57" t="s">
        <v>14</v>
      </c>
      <c r="L57">
        <v>654</v>
      </c>
      <c r="M57" t="s">
        <v>13</v>
      </c>
      <c r="N57">
        <f>654+1-221</f>
        <v>434</v>
      </c>
      <c r="O57">
        <f>N57*80</f>
        <v>34720</v>
      </c>
      <c r="Q57" t="s">
        <v>61</v>
      </c>
      <c r="R57" t="s">
        <v>31</v>
      </c>
      <c r="S57">
        <v>2</v>
      </c>
    </row>
    <row r="58" spans="4:19" x14ac:dyDescent="0.45">
      <c r="F58">
        <v>3</v>
      </c>
      <c r="I58">
        <v>2</v>
      </c>
      <c r="Q58" t="s">
        <v>61</v>
      </c>
    </row>
    <row r="59" spans="4:19" x14ac:dyDescent="0.45">
      <c r="F59">
        <v>5</v>
      </c>
      <c r="I59">
        <v>2</v>
      </c>
      <c r="P59" t="s">
        <v>28</v>
      </c>
      <c r="Q59" t="s">
        <v>45</v>
      </c>
    </row>
    <row r="60" spans="4:19" x14ac:dyDescent="0.45">
      <c r="F60">
        <v>6</v>
      </c>
      <c r="I60" s="1" t="s">
        <v>19</v>
      </c>
    </row>
    <row r="61" spans="4:19" x14ac:dyDescent="0.45">
      <c r="F61">
        <v>7</v>
      </c>
      <c r="I61">
        <v>2</v>
      </c>
      <c r="L61">
        <v>192</v>
      </c>
      <c r="M61" t="s">
        <v>13</v>
      </c>
      <c r="N61" s="1" t="s">
        <v>19</v>
      </c>
      <c r="Q61" t="s">
        <v>40</v>
      </c>
      <c r="R61" t="s">
        <v>30</v>
      </c>
      <c r="S61">
        <v>1</v>
      </c>
    </row>
    <row r="62" spans="4:19" x14ac:dyDescent="0.45">
      <c r="F62">
        <v>8</v>
      </c>
      <c r="I62">
        <v>2</v>
      </c>
      <c r="Q62" t="s">
        <v>40</v>
      </c>
    </row>
    <row r="63" spans="4:19" x14ac:dyDescent="0.45">
      <c r="F63">
        <v>9</v>
      </c>
      <c r="I63">
        <v>1</v>
      </c>
      <c r="Q63" t="s">
        <v>73</v>
      </c>
    </row>
    <row r="64" spans="4:19" x14ac:dyDescent="0.45">
      <c r="D64">
        <v>10</v>
      </c>
      <c r="E64">
        <v>80</v>
      </c>
      <c r="F64">
        <v>1</v>
      </c>
      <c r="H64">
        <v>748</v>
      </c>
      <c r="I64">
        <v>7</v>
      </c>
      <c r="J64">
        <v>57</v>
      </c>
      <c r="K64" t="s">
        <v>13</v>
      </c>
      <c r="P64" t="s">
        <v>74</v>
      </c>
      <c r="Q64" t="s">
        <v>75</v>
      </c>
      <c r="R64" t="s">
        <v>31</v>
      </c>
      <c r="S64">
        <v>2</v>
      </c>
    </row>
    <row r="65" spans="2:19" x14ac:dyDescent="0.45">
      <c r="F65">
        <v>3</v>
      </c>
      <c r="I65">
        <v>2</v>
      </c>
      <c r="Q65" t="s">
        <v>61</v>
      </c>
    </row>
    <row r="66" spans="2:19" x14ac:dyDescent="0.45">
      <c r="F66">
        <v>6</v>
      </c>
      <c r="I66" s="1" t="s">
        <v>19</v>
      </c>
    </row>
    <row r="67" spans="2:19" x14ac:dyDescent="0.45">
      <c r="F67">
        <v>8</v>
      </c>
      <c r="I67">
        <v>2</v>
      </c>
      <c r="Q67" t="s">
        <v>40</v>
      </c>
    </row>
    <row r="68" spans="2:19" x14ac:dyDescent="0.45">
      <c r="F68">
        <v>9</v>
      </c>
      <c r="I68">
        <v>1</v>
      </c>
      <c r="Q68" t="s">
        <v>73</v>
      </c>
    </row>
    <row r="69" spans="2:19" x14ac:dyDescent="0.45">
      <c r="D69">
        <v>11</v>
      </c>
      <c r="E69">
        <v>80</v>
      </c>
      <c r="F69">
        <v>3</v>
      </c>
      <c r="H69">
        <v>748</v>
      </c>
      <c r="I69">
        <v>2</v>
      </c>
      <c r="Q69" t="s">
        <v>61</v>
      </c>
    </row>
    <row r="70" spans="2:19" x14ac:dyDescent="0.45">
      <c r="F70">
        <v>6</v>
      </c>
      <c r="I70" s="1" t="s">
        <v>19</v>
      </c>
    </row>
    <row r="71" spans="2:19" x14ac:dyDescent="0.45">
      <c r="F71">
        <v>8</v>
      </c>
      <c r="I71">
        <v>2</v>
      </c>
      <c r="L71">
        <v>162</v>
      </c>
      <c r="M71" t="s">
        <v>26</v>
      </c>
      <c r="N71">
        <f>162+748*3+1-53</f>
        <v>2354</v>
      </c>
      <c r="O71">
        <f>N71*80</f>
        <v>188320</v>
      </c>
      <c r="Q71" t="s">
        <v>40</v>
      </c>
      <c r="R71" t="s">
        <v>31</v>
      </c>
      <c r="S71">
        <v>1</v>
      </c>
    </row>
    <row r="72" spans="2:19" x14ac:dyDescent="0.45">
      <c r="F72">
        <v>9</v>
      </c>
      <c r="I72">
        <v>1</v>
      </c>
      <c r="Q72" t="s">
        <v>73</v>
      </c>
    </row>
    <row r="73" spans="2:19" x14ac:dyDescent="0.45">
      <c r="D73">
        <v>12</v>
      </c>
      <c r="E73">
        <v>80</v>
      </c>
      <c r="F73">
        <v>3</v>
      </c>
      <c r="H73">
        <v>748</v>
      </c>
      <c r="I73">
        <v>2</v>
      </c>
      <c r="L73">
        <v>38</v>
      </c>
      <c r="M73" t="s">
        <v>13</v>
      </c>
      <c r="N73" s="1" t="s">
        <v>19</v>
      </c>
      <c r="Q73" t="s">
        <v>61</v>
      </c>
      <c r="R73" t="s">
        <v>31</v>
      </c>
      <c r="S73">
        <v>1</v>
      </c>
    </row>
    <row r="74" spans="2:19" x14ac:dyDescent="0.45">
      <c r="F74">
        <v>6</v>
      </c>
      <c r="I74" s="1" t="s">
        <v>19</v>
      </c>
    </row>
    <row r="75" spans="2:19" x14ac:dyDescent="0.45">
      <c r="F75">
        <v>9</v>
      </c>
      <c r="I75">
        <v>1</v>
      </c>
      <c r="L75">
        <v>188</v>
      </c>
      <c r="M75" t="s">
        <v>26</v>
      </c>
      <c r="N75">
        <f>188+748*4+1-648</f>
        <v>2533</v>
      </c>
      <c r="O75">
        <f>N75*80</f>
        <v>202640</v>
      </c>
      <c r="Q75" t="s">
        <v>73</v>
      </c>
      <c r="R75" t="s">
        <v>32</v>
      </c>
      <c r="S75">
        <v>1</v>
      </c>
    </row>
    <row r="76" spans="2:19" x14ac:dyDescent="0.45">
      <c r="B76" t="s">
        <v>76</v>
      </c>
      <c r="C76" t="s">
        <v>77</v>
      </c>
      <c r="D76">
        <v>0</v>
      </c>
      <c r="E76">
        <v>80</v>
      </c>
      <c r="F76">
        <v>1</v>
      </c>
      <c r="H76">
        <v>748</v>
      </c>
      <c r="I76">
        <v>1</v>
      </c>
      <c r="L76">
        <v>145</v>
      </c>
      <c r="M76" t="s">
        <v>13</v>
      </c>
      <c r="N76" s="1" t="s">
        <v>107</v>
      </c>
      <c r="O76" s="1" t="s">
        <v>19</v>
      </c>
      <c r="Q76" t="s">
        <v>61</v>
      </c>
      <c r="R76" t="s">
        <v>31</v>
      </c>
      <c r="S76">
        <v>1</v>
      </c>
    </row>
    <row r="77" spans="2:19" x14ac:dyDescent="0.45">
      <c r="F77">
        <v>2</v>
      </c>
      <c r="I77">
        <v>1</v>
      </c>
      <c r="L77">
        <v>686</v>
      </c>
      <c r="M77" t="s">
        <v>13</v>
      </c>
      <c r="N77" s="1" t="s">
        <v>108</v>
      </c>
      <c r="O77" s="1" t="s">
        <v>19</v>
      </c>
      <c r="Q77" t="s">
        <v>40</v>
      </c>
      <c r="R77" t="s">
        <v>31</v>
      </c>
      <c r="S77">
        <v>1</v>
      </c>
    </row>
    <row r="78" spans="2:19" x14ac:dyDescent="0.45">
      <c r="D78">
        <v>1</v>
      </c>
      <c r="E78">
        <v>80</v>
      </c>
      <c r="F78">
        <v>1</v>
      </c>
      <c r="H78">
        <v>748</v>
      </c>
      <c r="I78">
        <v>2</v>
      </c>
      <c r="J78">
        <v>711</v>
      </c>
      <c r="K78" t="s">
        <v>14</v>
      </c>
      <c r="Q78" t="s">
        <v>95</v>
      </c>
      <c r="R78" t="s">
        <v>31</v>
      </c>
      <c r="S78">
        <v>1</v>
      </c>
    </row>
    <row r="79" spans="2:19" x14ac:dyDescent="0.45">
      <c r="F79">
        <v>2</v>
      </c>
      <c r="I79">
        <v>2</v>
      </c>
      <c r="J79">
        <v>582</v>
      </c>
      <c r="K79" t="s">
        <v>13</v>
      </c>
      <c r="Q79" t="s">
        <v>69</v>
      </c>
      <c r="R79" t="s">
        <v>31</v>
      </c>
      <c r="S79">
        <v>1</v>
      </c>
    </row>
    <row r="80" spans="2:19" x14ac:dyDescent="0.45">
      <c r="F80">
        <v>3</v>
      </c>
      <c r="I80">
        <v>1</v>
      </c>
      <c r="J80">
        <v>111</v>
      </c>
      <c r="K80" t="s">
        <v>14</v>
      </c>
      <c r="Q80" t="s">
        <v>40</v>
      </c>
      <c r="R80" t="s">
        <v>30</v>
      </c>
      <c r="S80">
        <v>1</v>
      </c>
    </row>
    <row r="81" spans="4:19" x14ac:dyDescent="0.45">
      <c r="F81">
        <v>4</v>
      </c>
      <c r="I81">
        <v>1</v>
      </c>
      <c r="J81">
        <v>108</v>
      </c>
      <c r="K81" t="s">
        <v>13</v>
      </c>
      <c r="L81">
        <v>294</v>
      </c>
      <c r="M81" t="s">
        <v>13</v>
      </c>
      <c r="N81">
        <f>294+1-108</f>
        <v>187</v>
      </c>
      <c r="O81">
        <f>N81*80</f>
        <v>14960</v>
      </c>
      <c r="Q81" t="s">
        <v>72</v>
      </c>
      <c r="R81" t="s">
        <v>34</v>
      </c>
      <c r="S81">
        <v>1</v>
      </c>
    </row>
    <row r="82" spans="4:19" x14ac:dyDescent="0.45">
      <c r="D82">
        <v>2</v>
      </c>
      <c r="E82">
        <v>80</v>
      </c>
      <c r="F82">
        <v>1</v>
      </c>
      <c r="H82">
        <v>748</v>
      </c>
      <c r="I82">
        <v>2</v>
      </c>
      <c r="P82" t="s">
        <v>96</v>
      </c>
      <c r="Q82" t="s">
        <v>41</v>
      </c>
    </row>
    <row r="83" spans="4:19" x14ac:dyDescent="0.45">
      <c r="F83">
        <v>2</v>
      </c>
      <c r="I83" t="s">
        <v>15</v>
      </c>
      <c r="J83">
        <v>314</v>
      </c>
      <c r="K83" t="s">
        <v>13</v>
      </c>
      <c r="R83" t="s">
        <v>31</v>
      </c>
      <c r="S83">
        <v>1</v>
      </c>
    </row>
    <row r="84" spans="4:19" x14ac:dyDescent="0.45">
      <c r="F84">
        <v>2</v>
      </c>
      <c r="I84" t="s">
        <v>15</v>
      </c>
      <c r="L84">
        <v>367</v>
      </c>
      <c r="M84" t="s">
        <v>26</v>
      </c>
      <c r="N84" s="1" t="s">
        <v>19</v>
      </c>
      <c r="R84" t="s">
        <v>31</v>
      </c>
      <c r="S84">
        <v>1</v>
      </c>
    </row>
    <row r="85" spans="4:19" x14ac:dyDescent="0.45">
      <c r="F85">
        <v>2</v>
      </c>
      <c r="I85">
        <v>3</v>
      </c>
      <c r="L85">
        <v>414</v>
      </c>
      <c r="M85" t="s">
        <v>13</v>
      </c>
      <c r="N85" s="1" t="s">
        <v>19</v>
      </c>
      <c r="R85" t="s">
        <v>31</v>
      </c>
      <c r="S85">
        <v>1</v>
      </c>
    </row>
    <row r="86" spans="4:19" x14ac:dyDescent="0.45">
      <c r="F86">
        <v>3</v>
      </c>
      <c r="I86">
        <v>1</v>
      </c>
      <c r="Q86" t="s">
        <v>40</v>
      </c>
    </row>
    <row r="87" spans="4:19" x14ac:dyDescent="0.45">
      <c r="F87">
        <v>5</v>
      </c>
      <c r="I87">
        <v>2</v>
      </c>
      <c r="J87">
        <v>196</v>
      </c>
      <c r="K87" t="s">
        <v>14</v>
      </c>
      <c r="Q87" t="s">
        <v>40</v>
      </c>
      <c r="R87" t="s">
        <v>31</v>
      </c>
      <c r="S87">
        <v>1</v>
      </c>
    </row>
    <row r="88" spans="4:19" x14ac:dyDescent="0.45">
      <c r="F88">
        <v>5</v>
      </c>
      <c r="I88" t="s">
        <v>15</v>
      </c>
      <c r="J88">
        <v>285</v>
      </c>
      <c r="K88" t="s">
        <v>14</v>
      </c>
      <c r="R88" t="s">
        <v>31</v>
      </c>
      <c r="S88">
        <v>1</v>
      </c>
    </row>
    <row r="89" spans="4:19" x14ac:dyDescent="0.45">
      <c r="D89">
        <v>3</v>
      </c>
      <c r="F89">
        <v>1</v>
      </c>
      <c r="H89">
        <v>748</v>
      </c>
      <c r="I89">
        <v>2</v>
      </c>
      <c r="P89" t="s">
        <v>96</v>
      </c>
      <c r="Q89" t="s">
        <v>41</v>
      </c>
    </row>
    <row r="90" spans="4:19" x14ac:dyDescent="0.45">
      <c r="F90">
        <v>3</v>
      </c>
      <c r="I90">
        <v>1</v>
      </c>
      <c r="Q90" t="s">
        <v>61</v>
      </c>
    </row>
    <row r="91" spans="4:19" x14ac:dyDescent="0.45">
      <c r="F91">
        <v>5</v>
      </c>
      <c r="I91" t="s">
        <v>15</v>
      </c>
      <c r="L91">
        <v>34</v>
      </c>
      <c r="M91" t="s">
        <v>13</v>
      </c>
      <c r="R91" t="s">
        <v>31</v>
      </c>
      <c r="S91">
        <v>1</v>
      </c>
    </row>
    <row r="92" spans="4:19" x14ac:dyDescent="0.45">
      <c r="F92">
        <v>5</v>
      </c>
      <c r="I92">
        <v>3</v>
      </c>
      <c r="Q92" t="s">
        <v>73</v>
      </c>
    </row>
    <row r="93" spans="4:19" x14ac:dyDescent="0.45">
      <c r="D93">
        <v>4</v>
      </c>
      <c r="F93">
        <v>1</v>
      </c>
      <c r="H93">
        <v>748</v>
      </c>
      <c r="I93">
        <v>2</v>
      </c>
      <c r="L93">
        <v>347</v>
      </c>
      <c r="M93" t="s">
        <v>13</v>
      </c>
      <c r="N93">
        <f>347+748*3+1-711</f>
        <v>1881</v>
      </c>
      <c r="O93">
        <f>N93*80</f>
        <v>150480</v>
      </c>
      <c r="Q93" t="s">
        <v>61</v>
      </c>
      <c r="R93" t="s">
        <v>31</v>
      </c>
      <c r="S93">
        <v>1</v>
      </c>
    </row>
    <row r="94" spans="4:19" x14ac:dyDescent="0.45">
      <c r="F94">
        <v>3</v>
      </c>
      <c r="I94">
        <v>1</v>
      </c>
      <c r="Q94" t="s">
        <v>42</v>
      </c>
    </row>
    <row r="95" spans="4:19" x14ac:dyDescent="0.45">
      <c r="F95">
        <v>5</v>
      </c>
      <c r="I95">
        <v>3</v>
      </c>
      <c r="Q95" t="s">
        <v>73</v>
      </c>
    </row>
    <row r="96" spans="4:19" x14ac:dyDescent="0.45">
      <c r="D96">
        <v>5</v>
      </c>
      <c r="F96">
        <v>3</v>
      </c>
      <c r="H96">
        <v>748</v>
      </c>
      <c r="I96">
        <v>1</v>
      </c>
      <c r="L96">
        <v>652</v>
      </c>
      <c r="M96" t="s">
        <v>13</v>
      </c>
      <c r="N96">
        <f>652+748*4+1-111</f>
        <v>3534</v>
      </c>
      <c r="O96">
        <f>N96*80</f>
        <v>282720</v>
      </c>
      <c r="Q96" t="s">
        <v>61</v>
      </c>
      <c r="R96" t="s">
        <v>31</v>
      </c>
      <c r="S96">
        <v>1</v>
      </c>
    </row>
    <row r="97" spans="4:19" x14ac:dyDescent="0.45">
      <c r="F97">
        <v>5</v>
      </c>
      <c r="I97">
        <v>3</v>
      </c>
      <c r="P97" t="s">
        <v>98</v>
      </c>
      <c r="Q97" t="s">
        <v>97</v>
      </c>
    </row>
    <row r="98" spans="4:19" x14ac:dyDescent="0.45">
      <c r="D98">
        <v>6</v>
      </c>
      <c r="F98">
        <v>3</v>
      </c>
      <c r="H98">
        <v>748</v>
      </c>
      <c r="I98">
        <v>2</v>
      </c>
      <c r="J98">
        <v>481</v>
      </c>
      <c r="K98" t="s">
        <v>14</v>
      </c>
      <c r="L98">
        <v>591</v>
      </c>
      <c r="M98" t="s">
        <v>13</v>
      </c>
      <c r="N98">
        <f>591-481+1</f>
        <v>111</v>
      </c>
      <c r="O98">
        <f>N98*80</f>
        <v>8880</v>
      </c>
      <c r="Q98" t="s">
        <v>40</v>
      </c>
      <c r="R98" t="s">
        <v>31</v>
      </c>
      <c r="S98">
        <v>1</v>
      </c>
    </row>
    <row r="99" spans="4:19" x14ac:dyDescent="0.45">
      <c r="F99">
        <v>6</v>
      </c>
      <c r="I99">
        <v>1</v>
      </c>
      <c r="J99">
        <v>472</v>
      </c>
      <c r="K99" t="s">
        <v>13</v>
      </c>
      <c r="Q99" t="s">
        <v>72</v>
      </c>
      <c r="R99" t="s">
        <v>32</v>
      </c>
      <c r="S99">
        <v>1</v>
      </c>
    </row>
    <row r="100" spans="4:19" x14ac:dyDescent="0.45">
      <c r="F100">
        <v>7</v>
      </c>
      <c r="I100">
        <v>1</v>
      </c>
      <c r="J100">
        <v>573</v>
      </c>
      <c r="K100" t="s">
        <v>14</v>
      </c>
      <c r="Q100" t="s">
        <v>40</v>
      </c>
      <c r="R100" t="s">
        <v>32</v>
      </c>
      <c r="S100">
        <v>1</v>
      </c>
    </row>
    <row r="101" spans="4:19" x14ac:dyDescent="0.45">
      <c r="D101">
        <v>7</v>
      </c>
      <c r="F101">
        <v>2</v>
      </c>
      <c r="H101">
        <v>748</v>
      </c>
      <c r="I101">
        <v>4</v>
      </c>
      <c r="J101">
        <v>369</v>
      </c>
      <c r="K101" t="s">
        <v>13</v>
      </c>
      <c r="Q101" t="s">
        <v>72</v>
      </c>
      <c r="R101" t="s">
        <v>31</v>
      </c>
      <c r="S101">
        <v>1</v>
      </c>
    </row>
    <row r="102" spans="4:19" x14ac:dyDescent="0.45">
      <c r="F102">
        <v>3</v>
      </c>
      <c r="I102" s="1" t="s">
        <v>19</v>
      </c>
      <c r="P102" t="s">
        <v>91</v>
      </c>
    </row>
    <row r="103" spans="4:19" x14ac:dyDescent="0.45">
      <c r="F103">
        <v>5</v>
      </c>
      <c r="I103">
        <v>4</v>
      </c>
      <c r="L103">
        <v>613</v>
      </c>
      <c r="M103" t="s">
        <v>13</v>
      </c>
      <c r="N103" s="1" t="s">
        <v>19</v>
      </c>
      <c r="Q103" t="s">
        <v>61</v>
      </c>
      <c r="R103" t="s">
        <v>31</v>
      </c>
      <c r="S103">
        <v>1</v>
      </c>
    </row>
    <row r="104" spans="4:19" x14ac:dyDescent="0.45">
      <c r="F104">
        <v>6</v>
      </c>
      <c r="I104">
        <v>1</v>
      </c>
      <c r="Q104" t="s">
        <v>61</v>
      </c>
    </row>
    <row r="105" spans="4:19" x14ac:dyDescent="0.45">
      <c r="F105">
        <v>7</v>
      </c>
      <c r="I105">
        <v>1</v>
      </c>
      <c r="L105">
        <v>540</v>
      </c>
      <c r="M105" t="s">
        <v>26</v>
      </c>
      <c r="N105">
        <f>540+748+1-573</f>
        <v>716</v>
      </c>
      <c r="O105">
        <f>N105*80</f>
        <v>57280</v>
      </c>
      <c r="Q105" t="s">
        <v>158</v>
      </c>
      <c r="R105" t="s">
        <v>31</v>
      </c>
      <c r="S105">
        <v>1</v>
      </c>
    </row>
    <row r="106" spans="4:19" x14ac:dyDescent="0.45">
      <c r="F106">
        <v>8</v>
      </c>
      <c r="I106" s="1" t="s">
        <v>19</v>
      </c>
      <c r="P106" t="s">
        <v>99</v>
      </c>
    </row>
    <row r="107" spans="4:19" x14ac:dyDescent="0.45">
      <c r="D107">
        <v>8</v>
      </c>
      <c r="F107">
        <v>2</v>
      </c>
      <c r="H107">
        <v>748</v>
      </c>
      <c r="I107">
        <v>4</v>
      </c>
      <c r="Q107" t="s">
        <v>80</v>
      </c>
    </row>
    <row r="108" spans="4:19" x14ac:dyDescent="0.45">
      <c r="F108">
        <v>3</v>
      </c>
      <c r="I108" s="1" t="s">
        <v>19</v>
      </c>
      <c r="P108" t="s">
        <v>91</v>
      </c>
    </row>
    <row r="109" spans="4:19" x14ac:dyDescent="0.45">
      <c r="F109">
        <v>5</v>
      </c>
      <c r="I109" s="1" t="s">
        <v>19</v>
      </c>
    </row>
    <row r="110" spans="4:19" x14ac:dyDescent="0.45">
      <c r="F110">
        <v>6</v>
      </c>
      <c r="I110">
        <v>1</v>
      </c>
      <c r="L110">
        <v>663</v>
      </c>
      <c r="M110" t="s">
        <v>13</v>
      </c>
      <c r="N110">
        <f>663+748*2+1-472</f>
        <v>1688</v>
      </c>
      <c r="O110">
        <f>N110*80</f>
        <v>135040</v>
      </c>
      <c r="P110" t="s">
        <v>100</v>
      </c>
      <c r="Q110" t="s">
        <v>61</v>
      </c>
      <c r="R110" t="s">
        <v>31</v>
      </c>
      <c r="S110">
        <v>1</v>
      </c>
    </row>
    <row r="111" spans="4:19" x14ac:dyDescent="0.45">
      <c r="D111">
        <v>9</v>
      </c>
      <c r="F111">
        <v>2</v>
      </c>
      <c r="H111">
        <v>748</v>
      </c>
      <c r="I111">
        <v>4</v>
      </c>
      <c r="P111" t="s">
        <v>101</v>
      </c>
      <c r="Q111" t="s">
        <v>71</v>
      </c>
    </row>
    <row r="112" spans="4:19" x14ac:dyDescent="0.45">
      <c r="F112">
        <v>8</v>
      </c>
      <c r="I112" s="1" t="s">
        <v>19</v>
      </c>
      <c r="P112" t="s">
        <v>102</v>
      </c>
    </row>
    <row r="113" spans="2:19" x14ac:dyDescent="0.45">
      <c r="F113">
        <v>9</v>
      </c>
      <c r="I113">
        <v>1</v>
      </c>
      <c r="P113" t="s">
        <v>103</v>
      </c>
      <c r="Q113" t="s">
        <v>71</v>
      </c>
    </row>
    <row r="114" spans="2:19" x14ac:dyDescent="0.45">
      <c r="D114">
        <v>10</v>
      </c>
      <c r="F114">
        <v>2</v>
      </c>
      <c r="H114">
        <v>748</v>
      </c>
      <c r="I114">
        <v>4</v>
      </c>
      <c r="Q114" t="s">
        <v>104</v>
      </c>
      <c r="R114" t="s">
        <v>31</v>
      </c>
    </row>
    <row r="115" spans="2:19" x14ac:dyDescent="0.45">
      <c r="F115">
        <v>9</v>
      </c>
      <c r="I115" s="1" t="s">
        <v>19</v>
      </c>
      <c r="P115" t="s">
        <v>103</v>
      </c>
    </row>
    <row r="116" spans="2:19" x14ac:dyDescent="0.45">
      <c r="D116">
        <v>11</v>
      </c>
      <c r="F116">
        <v>2</v>
      </c>
      <c r="H116">
        <v>748</v>
      </c>
      <c r="I116">
        <v>4</v>
      </c>
      <c r="L116">
        <v>607</v>
      </c>
      <c r="M116" t="s">
        <v>13</v>
      </c>
      <c r="N116">
        <f>607+748*4-369+1</f>
        <v>3231</v>
      </c>
      <c r="O116">
        <f>N116*80</f>
        <v>258480</v>
      </c>
      <c r="Q116" t="s">
        <v>104</v>
      </c>
      <c r="R116" t="s">
        <v>31</v>
      </c>
    </row>
    <row r="117" spans="2:19" x14ac:dyDescent="0.45">
      <c r="F117">
        <v>9</v>
      </c>
      <c r="I117" s="1" t="s">
        <v>19</v>
      </c>
      <c r="P117" t="s">
        <v>103</v>
      </c>
    </row>
    <row r="118" spans="2:19" x14ac:dyDescent="0.45">
      <c r="F118">
        <v>10</v>
      </c>
      <c r="I118">
        <v>1</v>
      </c>
      <c r="J118">
        <v>239</v>
      </c>
      <c r="K118" t="s">
        <v>14</v>
      </c>
      <c r="N118" t="s">
        <v>106</v>
      </c>
      <c r="O118" s="1" t="s">
        <v>19</v>
      </c>
      <c r="Q118" t="s">
        <v>105</v>
      </c>
      <c r="R118" t="s">
        <v>31</v>
      </c>
      <c r="S118">
        <v>2</v>
      </c>
    </row>
    <row r="119" spans="2:19" x14ac:dyDescent="0.45">
      <c r="B119" t="s">
        <v>78</v>
      </c>
      <c r="C119" t="s">
        <v>79</v>
      </c>
      <c r="D119">
        <v>0</v>
      </c>
      <c r="E119">
        <v>80</v>
      </c>
      <c r="F119">
        <v>1</v>
      </c>
      <c r="H119">
        <v>748</v>
      </c>
      <c r="I119">
        <v>1</v>
      </c>
      <c r="J119">
        <v>522</v>
      </c>
      <c r="K119" t="s">
        <v>14</v>
      </c>
      <c r="Q119" t="s">
        <v>80</v>
      </c>
      <c r="R119" t="s">
        <v>31</v>
      </c>
      <c r="S119">
        <v>2</v>
      </c>
    </row>
    <row r="120" spans="2:19" x14ac:dyDescent="0.45">
      <c r="F120">
        <v>1</v>
      </c>
      <c r="I120" t="s">
        <v>15</v>
      </c>
      <c r="J120">
        <v>722</v>
      </c>
      <c r="K120" t="s">
        <v>13</v>
      </c>
      <c r="R120" t="s">
        <v>31</v>
      </c>
      <c r="S120">
        <v>2</v>
      </c>
    </row>
    <row r="121" spans="2:19" x14ac:dyDescent="0.45">
      <c r="F121">
        <v>2</v>
      </c>
      <c r="I121">
        <v>1</v>
      </c>
      <c r="J121">
        <v>707</v>
      </c>
      <c r="K121" t="s">
        <v>14</v>
      </c>
      <c r="Q121" t="s">
        <v>81</v>
      </c>
      <c r="R121" t="s">
        <v>31</v>
      </c>
      <c r="S121">
        <v>1</v>
      </c>
    </row>
    <row r="122" spans="2:19" x14ac:dyDescent="0.45">
      <c r="F122">
        <v>3</v>
      </c>
      <c r="I122">
        <v>1</v>
      </c>
      <c r="J122">
        <v>468</v>
      </c>
      <c r="K122" t="s">
        <v>14</v>
      </c>
      <c r="Q122" t="s">
        <v>61</v>
      </c>
      <c r="R122" t="s">
        <v>34</v>
      </c>
      <c r="S122">
        <v>1</v>
      </c>
    </row>
    <row r="123" spans="2:19" x14ac:dyDescent="0.45">
      <c r="F123">
        <v>3</v>
      </c>
      <c r="I123">
        <v>1</v>
      </c>
      <c r="L123">
        <v>651</v>
      </c>
      <c r="M123" t="s">
        <v>35</v>
      </c>
      <c r="N123">
        <f>651+1-468</f>
        <v>184</v>
      </c>
      <c r="O123">
        <f>N123*80</f>
        <v>14720</v>
      </c>
      <c r="Q123" t="s">
        <v>61</v>
      </c>
      <c r="R123" t="s">
        <v>36</v>
      </c>
      <c r="S123">
        <v>1</v>
      </c>
    </row>
    <row r="124" spans="2:19" x14ac:dyDescent="0.45">
      <c r="F124">
        <v>4</v>
      </c>
      <c r="I124">
        <v>1</v>
      </c>
      <c r="Q124" t="s">
        <v>40</v>
      </c>
    </row>
    <row r="125" spans="2:19" x14ac:dyDescent="0.45">
      <c r="D125">
        <v>1</v>
      </c>
      <c r="E125">
        <v>80</v>
      </c>
      <c r="F125">
        <v>1</v>
      </c>
      <c r="H125">
        <v>748</v>
      </c>
      <c r="I125" t="s">
        <v>15</v>
      </c>
      <c r="L125">
        <v>225</v>
      </c>
      <c r="M125" t="s">
        <v>13</v>
      </c>
      <c r="N125" s="1" t="s">
        <v>19</v>
      </c>
      <c r="R125" t="s">
        <v>31</v>
      </c>
      <c r="S125">
        <v>2</v>
      </c>
    </row>
    <row r="126" spans="2:19" x14ac:dyDescent="0.45">
      <c r="F126">
        <v>1</v>
      </c>
      <c r="I126" t="s">
        <v>15</v>
      </c>
      <c r="J126">
        <v>313</v>
      </c>
      <c r="K126" t="s">
        <v>14</v>
      </c>
      <c r="R126" t="s">
        <v>31</v>
      </c>
      <c r="S126">
        <v>2</v>
      </c>
    </row>
    <row r="127" spans="2:19" x14ac:dyDescent="0.45">
      <c r="F127">
        <v>1</v>
      </c>
      <c r="I127" t="s">
        <v>15</v>
      </c>
      <c r="L127">
        <v>352</v>
      </c>
      <c r="M127" t="s">
        <v>13</v>
      </c>
      <c r="N127" s="1" t="s">
        <v>19</v>
      </c>
      <c r="R127" t="s">
        <v>31</v>
      </c>
      <c r="S127">
        <v>2</v>
      </c>
    </row>
    <row r="128" spans="2:19" x14ac:dyDescent="0.45">
      <c r="F128">
        <v>1</v>
      </c>
      <c r="I128">
        <v>2</v>
      </c>
      <c r="L128">
        <v>519</v>
      </c>
      <c r="M128" t="s">
        <v>35</v>
      </c>
      <c r="N128" s="1" t="s">
        <v>19</v>
      </c>
      <c r="Q128" t="s">
        <v>61</v>
      </c>
      <c r="R128" t="s">
        <v>31</v>
      </c>
      <c r="S128">
        <v>2</v>
      </c>
    </row>
    <row r="129" spans="4:19" x14ac:dyDescent="0.45">
      <c r="F129">
        <v>2</v>
      </c>
      <c r="I129">
        <v>1</v>
      </c>
      <c r="Q129" t="s">
        <v>73</v>
      </c>
    </row>
    <row r="130" spans="4:19" x14ac:dyDescent="0.45">
      <c r="F130">
        <v>4</v>
      </c>
      <c r="I130">
        <v>1</v>
      </c>
      <c r="Q130" t="s">
        <v>40</v>
      </c>
    </row>
    <row r="131" spans="4:19" x14ac:dyDescent="0.45">
      <c r="F131">
        <v>5</v>
      </c>
      <c r="I131">
        <v>1</v>
      </c>
      <c r="J131">
        <v>351</v>
      </c>
      <c r="K131" t="s">
        <v>13</v>
      </c>
      <c r="Q131" t="s">
        <v>72</v>
      </c>
      <c r="R131" t="s">
        <v>34</v>
      </c>
      <c r="S131">
        <v>1</v>
      </c>
    </row>
    <row r="132" spans="4:19" x14ac:dyDescent="0.45">
      <c r="F132">
        <v>6</v>
      </c>
      <c r="I132">
        <v>1</v>
      </c>
      <c r="J132">
        <v>404</v>
      </c>
      <c r="K132" t="s">
        <v>13</v>
      </c>
      <c r="Q132" t="s">
        <v>44</v>
      </c>
      <c r="R132" t="s">
        <v>36</v>
      </c>
      <c r="S132">
        <v>1</v>
      </c>
    </row>
    <row r="133" spans="4:19" x14ac:dyDescent="0.45">
      <c r="F133">
        <v>7</v>
      </c>
      <c r="I133">
        <v>1</v>
      </c>
      <c r="J133">
        <v>352</v>
      </c>
      <c r="K133" t="s">
        <v>14</v>
      </c>
      <c r="P133" t="s">
        <v>28</v>
      </c>
      <c r="R133" t="s">
        <v>31</v>
      </c>
      <c r="S133">
        <v>1</v>
      </c>
    </row>
    <row r="134" spans="4:19" x14ac:dyDescent="0.45">
      <c r="F134">
        <v>7</v>
      </c>
      <c r="I134" t="s">
        <v>15</v>
      </c>
      <c r="J134">
        <v>429</v>
      </c>
      <c r="K134" t="s">
        <v>14</v>
      </c>
      <c r="P134" t="s">
        <v>28</v>
      </c>
      <c r="R134" t="s">
        <v>31</v>
      </c>
      <c r="S134">
        <v>1</v>
      </c>
    </row>
    <row r="135" spans="4:19" x14ac:dyDescent="0.45">
      <c r="F135">
        <v>7</v>
      </c>
      <c r="I135" t="s">
        <v>15</v>
      </c>
      <c r="L135">
        <v>456</v>
      </c>
      <c r="M135" t="s">
        <v>26</v>
      </c>
      <c r="N135" s="1" t="s">
        <v>19</v>
      </c>
      <c r="P135" t="s">
        <v>28</v>
      </c>
      <c r="R135" t="s">
        <v>31</v>
      </c>
      <c r="S135">
        <v>1</v>
      </c>
    </row>
    <row r="136" spans="4:19" x14ac:dyDescent="0.45">
      <c r="D136">
        <v>2</v>
      </c>
      <c r="F136">
        <v>4</v>
      </c>
      <c r="H136">
        <v>748</v>
      </c>
      <c r="I136">
        <v>1</v>
      </c>
      <c r="Q136" t="s">
        <v>73</v>
      </c>
    </row>
    <row r="137" spans="4:19" x14ac:dyDescent="0.45">
      <c r="F137">
        <v>5</v>
      </c>
      <c r="I137">
        <v>1</v>
      </c>
      <c r="P137" t="s">
        <v>82</v>
      </c>
      <c r="Q137" t="s">
        <v>61</v>
      </c>
    </row>
    <row r="138" spans="4:19" x14ac:dyDescent="0.45">
      <c r="F138">
        <v>6</v>
      </c>
      <c r="I138">
        <v>1</v>
      </c>
      <c r="L138">
        <v>545</v>
      </c>
      <c r="M138" t="s">
        <v>13</v>
      </c>
      <c r="N138">
        <f>545+748+1-404</f>
        <v>890</v>
      </c>
      <c r="O138">
        <f>N138*80</f>
        <v>71200</v>
      </c>
      <c r="Q138" t="s">
        <v>40</v>
      </c>
      <c r="R138" t="s">
        <v>36</v>
      </c>
      <c r="S138">
        <v>1</v>
      </c>
    </row>
    <row r="139" spans="4:19" x14ac:dyDescent="0.45">
      <c r="F139">
        <v>6</v>
      </c>
      <c r="I139">
        <v>2</v>
      </c>
      <c r="J139">
        <v>692</v>
      </c>
      <c r="K139" t="s">
        <v>14</v>
      </c>
      <c r="Q139" t="s">
        <v>83</v>
      </c>
      <c r="R139" t="s">
        <v>36</v>
      </c>
      <c r="S139">
        <v>1</v>
      </c>
    </row>
    <row r="140" spans="4:19" x14ac:dyDescent="0.45">
      <c r="F140">
        <v>7</v>
      </c>
      <c r="I140">
        <v>2</v>
      </c>
      <c r="P140" t="s">
        <v>28</v>
      </c>
      <c r="Q140" t="s">
        <v>84</v>
      </c>
    </row>
    <row r="141" spans="4:19" x14ac:dyDescent="0.45">
      <c r="D141">
        <v>3</v>
      </c>
      <c r="F141">
        <v>1</v>
      </c>
      <c r="H141">
        <v>748</v>
      </c>
      <c r="I141">
        <v>3</v>
      </c>
      <c r="J141">
        <v>539</v>
      </c>
      <c r="K141" t="s">
        <v>13</v>
      </c>
      <c r="L141">
        <v>558</v>
      </c>
      <c r="M141" t="s">
        <v>13</v>
      </c>
      <c r="N141">
        <f>558+1-539</f>
        <v>20</v>
      </c>
      <c r="O141">
        <f>N141*80</f>
        <v>1600</v>
      </c>
      <c r="Q141" t="s">
        <v>75</v>
      </c>
      <c r="R141" t="s">
        <v>31</v>
      </c>
      <c r="S141">
        <v>2</v>
      </c>
    </row>
    <row r="142" spans="4:19" x14ac:dyDescent="0.45">
      <c r="F142">
        <v>3</v>
      </c>
      <c r="I142">
        <v>2</v>
      </c>
      <c r="J142">
        <v>137</v>
      </c>
      <c r="K142" t="s">
        <v>14</v>
      </c>
      <c r="Q142" t="s">
        <v>40</v>
      </c>
      <c r="R142" t="s">
        <v>31</v>
      </c>
      <c r="S142">
        <v>1</v>
      </c>
    </row>
    <row r="143" spans="4:19" x14ac:dyDescent="0.45">
      <c r="F143">
        <v>4</v>
      </c>
      <c r="I143">
        <v>1</v>
      </c>
      <c r="L143">
        <v>317</v>
      </c>
      <c r="M143" t="s">
        <v>13</v>
      </c>
      <c r="N143" s="1" t="s">
        <v>109</v>
      </c>
      <c r="O143" s="1" t="s">
        <v>19</v>
      </c>
      <c r="Q143" t="s">
        <v>73</v>
      </c>
      <c r="R143" t="s">
        <v>31</v>
      </c>
      <c r="S143">
        <v>1</v>
      </c>
    </row>
    <row r="144" spans="4:19" x14ac:dyDescent="0.45">
      <c r="F144">
        <v>5</v>
      </c>
      <c r="I144">
        <v>1</v>
      </c>
      <c r="Q144" t="s">
        <v>40</v>
      </c>
    </row>
    <row r="145" spans="4:19" x14ac:dyDescent="0.45">
      <c r="F145">
        <v>6</v>
      </c>
      <c r="I145">
        <v>2</v>
      </c>
      <c r="L145">
        <v>428</v>
      </c>
      <c r="M145" t="s">
        <v>13</v>
      </c>
      <c r="N145">
        <f>428+748+1-692</f>
        <v>485</v>
      </c>
      <c r="O145">
        <f>N145*80</f>
        <v>38800</v>
      </c>
      <c r="Q145" t="s">
        <v>40</v>
      </c>
      <c r="R145" t="s">
        <v>36</v>
      </c>
      <c r="S145">
        <v>1</v>
      </c>
    </row>
    <row r="146" spans="4:19" x14ac:dyDescent="0.45">
      <c r="F146">
        <v>7</v>
      </c>
      <c r="I146">
        <v>2</v>
      </c>
      <c r="L146">
        <v>67</v>
      </c>
      <c r="M146" t="s">
        <v>35</v>
      </c>
      <c r="N146" s="1" t="s">
        <v>19</v>
      </c>
      <c r="P146" t="s">
        <v>28</v>
      </c>
      <c r="Q146" t="s">
        <v>85</v>
      </c>
      <c r="R146" t="s">
        <v>31</v>
      </c>
      <c r="S146">
        <v>1</v>
      </c>
    </row>
    <row r="147" spans="4:19" x14ac:dyDescent="0.45">
      <c r="F147">
        <v>8</v>
      </c>
      <c r="I147">
        <v>1</v>
      </c>
      <c r="J147">
        <v>180</v>
      </c>
      <c r="K147" t="s">
        <v>14</v>
      </c>
      <c r="R147" t="s">
        <v>30</v>
      </c>
      <c r="S147" t="s">
        <v>86</v>
      </c>
    </row>
    <row r="148" spans="4:19" x14ac:dyDescent="0.45">
      <c r="F148">
        <v>8</v>
      </c>
      <c r="I148" t="s">
        <v>15</v>
      </c>
      <c r="J148">
        <v>228</v>
      </c>
      <c r="K148" t="s">
        <v>14</v>
      </c>
      <c r="R148" t="s">
        <v>31</v>
      </c>
      <c r="S148" t="s">
        <v>86</v>
      </c>
    </row>
    <row r="149" spans="4:19" x14ac:dyDescent="0.45">
      <c r="F149">
        <v>8</v>
      </c>
      <c r="I149" t="s">
        <v>15</v>
      </c>
      <c r="L149">
        <v>320</v>
      </c>
      <c r="M149" t="s">
        <v>13</v>
      </c>
      <c r="N149" s="1" t="s">
        <v>19</v>
      </c>
      <c r="P149" t="s">
        <v>88</v>
      </c>
      <c r="R149" t="s">
        <v>31</v>
      </c>
      <c r="S149" t="s">
        <v>86</v>
      </c>
    </row>
    <row r="150" spans="4:19" x14ac:dyDescent="0.45">
      <c r="F150">
        <v>8</v>
      </c>
      <c r="I150">
        <v>2</v>
      </c>
      <c r="L150">
        <v>668</v>
      </c>
      <c r="M150" t="s">
        <v>26</v>
      </c>
      <c r="N150" s="1" t="s">
        <v>19</v>
      </c>
      <c r="R150" t="s">
        <v>31</v>
      </c>
      <c r="S150" t="s">
        <v>86</v>
      </c>
    </row>
    <row r="151" spans="4:19" x14ac:dyDescent="0.45">
      <c r="F151">
        <v>9</v>
      </c>
      <c r="I151">
        <v>1</v>
      </c>
      <c r="J151">
        <v>135</v>
      </c>
      <c r="K151" t="s">
        <v>13</v>
      </c>
      <c r="Q151" t="s">
        <v>72</v>
      </c>
      <c r="R151" t="s">
        <v>32</v>
      </c>
      <c r="S151">
        <v>1</v>
      </c>
    </row>
    <row r="152" spans="4:19" x14ac:dyDescent="0.45">
      <c r="D152">
        <v>4</v>
      </c>
      <c r="F152">
        <v>3</v>
      </c>
      <c r="H152">
        <v>748</v>
      </c>
      <c r="I152">
        <v>2</v>
      </c>
      <c r="L152">
        <v>189</v>
      </c>
      <c r="M152" t="s">
        <v>26</v>
      </c>
      <c r="N152">
        <f>189+748+1-137</f>
        <v>801</v>
      </c>
      <c r="O152">
        <f>N152*80</f>
        <v>64080</v>
      </c>
      <c r="Q152" t="s">
        <v>44</v>
      </c>
      <c r="R152" t="s">
        <v>31</v>
      </c>
      <c r="S152">
        <v>1</v>
      </c>
    </row>
    <row r="153" spans="4:19" x14ac:dyDescent="0.45">
      <c r="F153">
        <v>5</v>
      </c>
      <c r="I153">
        <v>1</v>
      </c>
      <c r="Q153" t="s">
        <v>73</v>
      </c>
    </row>
    <row r="154" spans="4:19" x14ac:dyDescent="0.45">
      <c r="F154">
        <v>6</v>
      </c>
      <c r="I154">
        <v>3</v>
      </c>
      <c r="J154">
        <v>142</v>
      </c>
      <c r="K154" t="s">
        <v>13</v>
      </c>
      <c r="L154">
        <v>307</v>
      </c>
      <c r="M154" t="s">
        <v>13</v>
      </c>
      <c r="N154">
        <f>307-142+1</f>
        <v>166</v>
      </c>
      <c r="O154">
        <f>N154*80</f>
        <v>13280</v>
      </c>
      <c r="Q154" t="s">
        <v>72</v>
      </c>
      <c r="R154" t="s">
        <v>36</v>
      </c>
      <c r="S154">
        <v>1</v>
      </c>
    </row>
    <row r="155" spans="4:19" x14ac:dyDescent="0.45">
      <c r="F155">
        <v>6</v>
      </c>
      <c r="I155">
        <v>4</v>
      </c>
      <c r="J155">
        <v>501</v>
      </c>
      <c r="K155" t="s">
        <v>13</v>
      </c>
      <c r="Q155" t="s">
        <v>71</v>
      </c>
      <c r="R155" t="s">
        <v>36</v>
      </c>
      <c r="S155">
        <v>1</v>
      </c>
    </row>
    <row r="156" spans="4:19" x14ac:dyDescent="0.45">
      <c r="F156">
        <v>9</v>
      </c>
      <c r="I156">
        <v>1</v>
      </c>
      <c r="Q156" t="s">
        <v>61</v>
      </c>
    </row>
    <row r="157" spans="4:19" x14ac:dyDescent="0.45">
      <c r="F157">
        <v>10</v>
      </c>
      <c r="I157" s="1" t="s">
        <v>19</v>
      </c>
      <c r="P157" t="s">
        <v>89</v>
      </c>
    </row>
    <row r="158" spans="4:19" x14ac:dyDescent="0.45">
      <c r="F158">
        <v>11</v>
      </c>
      <c r="I158">
        <v>1</v>
      </c>
      <c r="L158">
        <v>79</v>
      </c>
      <c r="M158" t="s">
        <v>35</v>
      </c>
      <c r="N158" s="1" t="s">
        <v>110</v>
      </c>
      <c r="O158" s="1" t="s">
        <v>19</v>
      </c>
      <c r="P158" t="s">
        <v>90</v>
      </c>
      <c r="Q158" t="s">
        <v>61</v>
      </c>
      <c r="R158" t="s">
        <v>31</v>
      </c>
      <c r="S158">
        <v>1</v>
      </c>
    </row>
    <row r="159" spans="4:19" x14ac:dyDescent="0.45">
      <c r="F159">
        <v>11</v>
      </c>
      <c r="I159">
        <v>2</v>
      </c>
      <c r="J159">
        <v>83</v>
      </c>
      <c r="K159" t="s">
        <v>13</v>
      </c>
      <c r="L159">
        <v>171</v>
      </c>
      <c r="M159" t="s">
        <v>35</v>
      </c>
      <c r="N159">
        <f>171+1-83</f>
        <v>89</v>
      </c>
      <c r="O159">
        <f>N159*80</f>
        <v>7120</v>
      </c>
      <c r="P159" t="s">
        <v>90</v>
      </c>
      <c r="Q159" t="s">
        <v>61</v>
      </c>
      <c r="R159" t="s">
        <v>32</v>
      </c>
      <c r="S159">
        <v>1</v>
      </c>
    </row>
    <row r="160" spans="4:19" x14ac:dyDescent="0.45">
      <c r="D160">
        <v>5</v>
      </c>
      <c r="F160">
        <v>1</v>
      </c>
      <c r="H160">
        <v>748</v>
      </c>
      <c r="I160">
        <v>4</v>
      </c>
      <c r="J160">
        <v>268</v>
      </c>
      <c r="K160" t="s">
        <v>14</v>
      </c>
      <c r="L160">
        <v>482</v>
      </c>
      <c r="M160" t="s">
        <v>13</v>
      </c>
      <c r="N160">
        <f>482+1-268</f>
        <v>215</v>
      </c>
      <c r="O160">
        <f>N160*80</f>
        <v>17200</v>
      </c>
      <c r="Q160" t="s">
        <v>40</v>
      </c>
      <c r="R160" t="s">
        <v>31</v>
      </c>
      <c r="S160">
        <v>2</v>
      </c>
    </row>
    <row r="161" spans="4:19" x14ac:dyDescent="0.45">
      <c r="F161">
        <v>5</v>
      </c>
      <c r="I161">
        <v>1</v>
      </c>
      <c r="Q161" t="s">
        <v>73</v>
      </c>
    </row>
    <row r="162" spans="4:19" x14ac:dyDescent="0.45">
      <c r="F162">
        <v>6</v>
      </c>
      <c r="I162" t="s">
        <v>15</v>
      </c>
      <c r="J162">
        <v>77</v>
      </c>
      <c r="K162" t="s">
        <v>14</v>
      </c>
      <c r="L162">
        <v>463</v>
      </c>
      <c r="M162" t="s">
        <v>35</v>
      </c>
      <c r="N162">
        <f>463+1-77</f>
        <v>387</v>
      </c>
      <c r="O162">
        <f>N162*80</f>
        <v>30960</v>
      </c>
      <c r="R162" t="s">
        <v>36</v>
      </c>
      <c r="S162">
        <v>1</v>
      </c>
    </row>
    <row r="163" spans="4:19" x14ac:dyDescent="0.45">
      <c r="F163">
        <v>6</v>
      </c>
      <c r="I163" t="s">
        <v>15</v>
      </c>
      <c r="J163">
        <v>549</v>
      </c>
      <c r="K163" t="s">
        <v>13</v>
      </c>
      <c r="R163" t="s">
        <v>36</v>
      </c>
      <c r="S163">
        <v>1</v>
      </c>
    </row>
    <row r="164" spans="4:19" x14ac:dyDescent="0.45">
      <c r="F164">
        <v>7</v>
      </c>
      <c r="I164">
        <v>3</v>
      </c>
      <c r="J164">
        <v>179</v>
      </c>
      <c r="K164" t="s">
        <v>14</v>
      </c>
      <c r="P164" t="s">
        <v>28</v>
      </c>
      <c r="Q164" t="s">
        <v>45</v>
      </c>
      <c r="R164" t="s">
        <v>32</v>
      </c>
      <c r="S164">
        <v>1</v>
      </c>
    </row>
    <row r="165" spans="4:19" x14ac:dyDescent="0.45">
      <c r="F165">
        <v>9</v>
      </c>
      <c r="I165">
        <v>1</v>
      </c>
      <c r="Q165" t="s">
        <v>61</v>
      </c>
    </row>
    <row r="166" spans="4:19" x14ac:dyDescent="0.45">
      <c r="F166">
        <v>10</v>
      </c>
      <c r="I166" s="1" t="s">
        <v>19</v>
      </c>
    </row>
    <row r="167" spans="4:19" x14ac:dyDescent="0.45">
      <c r="F167">
        <v>11</v>
      </c>
      <c r="I167" s="1" t="s">
        <v>19</v>
      </c>
      <c r="P167" t="s">
        <v>91</v>
      </c>
    </row>
    <row r="168" spans="4:19" x14ac:dyDescent="0.45">
      <c r="D168">
        <v>6</v>
      </c>
      <c r="F168">
        <v>2</v>
      </c>
      <c r="H168">
        <v>748</v>
      </c>
      <c r="I168">
        <v>2</v>
      </c>
      <c r="J168">
        <v>417</v>
      </c>
      <c r="K168" t="s">
        <v>14</v>
      </c>
      <c r="Q168" t="s">
        <v>45</v>
      </c>
      <c r="R168" t="s">
        <v>36</v>
      </c>
      <c r="S168">
        <v>1</v>
      </c>
    </row>
    <row r="169" spans="4:19" x14ac:dyDescent="0.45">
      <c r="F169">
        <v>5</v>
      </c>
      <c r="I169">
        <v>1</v>
      </c>
      <c r="Q169" t="s">
        <v>40</v>
      </c>
    </row>
    <row r="170" spans="4:19" x14ac:dyDescent="0.45">
      <c r="F170">
        <v>6</v>
      </c>
      <c r="I170" t="s">
        <v>15</v>
      </c>
      <c r="L170">
        <v>407</v>
      </c>
      <c r="M170" t="s">
        <v>26</v>
      </c>
      <c r="N170" s="1" t="s">
        <v>19</v>
      </c>
      <c r="R170" t="s">
        <v>36</v>
      </c>
      <c r="S170">
        <v>1</v>
      </c>
    </row>
    <row r="171" spans="4:19" x14ac:dyDescent="0.45">
      <c r="F171">
        <v>6</v>
      </c>
      <c r="I171">
        <v>5</v>
      </c>
      <c r="L171">
        <v>498</v>
      </c>
      <c r="M171" t="s">
        <v>26</v>
      </c>
      <c r="N171" s="1" t="s">
        <v>19</v>
      </c>
      <c r="R171" t="s">
        <v>36</v>
      </c>
      <c r="S171">
        <v>1</v>
      </c>
    </row>
    <row r="172" spans="4:19" x14ac:dyDescent="0.45">
      <c r="F172">
        <v>7</v>
      </c>
      <c r="I172">
        <v>3</v>
      </c>
      <c r="L172">
        <v>189</v>
      </c>
      <c r="M172" t="s">
        <v>26</v>
      </c>
      <c r="N172">
        <f>189+748+1-179</f>
        <v>759</v>
      </c>
      <c r="O172">
        <f>N172*80</f>
        <v>60720</v>
      </c>
      <c r="P172" t="s">
        <v>28</v>
      </c>
      <c r="Q172" t="s">
        <v>45</v>
      </c>
      <c r="R172" t="s">
        <v>31</v>
      </c>
      <c r="S172">
        <v>1</v>
      </c>
    </row>
    <row r="173" spans="4:19" x14ac:dyDescent="0.45">
      <c r="F173">
        <v>9</v>
      </c>
      <c r="I173">
        <v>1</v>
      </c>
      <c r="Q173" t="s">
        <v>61</v>
      </c>
    </row>
    <row r="174" spans="4:19" x14ac:dyDescent="0.45">
      <c r="F174">
        <v>10</v>
      </c>
      <c r="I174" s="1" t="s">
        <v>19</v>
      </c>
    </row>
    <row r="175" spans="4:19" x14ac:dyDescent="0.45">
      <c r="F175">
        <v>11</v>
      </c>
      <c r="I175" s="1" t="s">
        <v>19</v>
      </c>
    </row>
    <row r="176" spans="4:19" x14ac:dyDescent="0.45">
      <c r="D176">
        <v>7</v>
      </c>
      <c r="F176">
        <v>2</v>
      </c>
      <c r="H176">
        <v>748</v>
      </c>
      <c r="I176">
        <v>2</v>
      </c>
      <c r="Q176" t="s">
        <v>45</v>
      </c>
    </row>
    <row r="177" spans="4:19" x14ac:dyDescent="0.45">
      <c r="F177">
        <v>5</v>
      </c>
      <c r="I177" t="s">
        <v>15</v>
      </c>
      <c r="J177">
        <v>264</v>
      </c>
      <c r="K177" t="s">
        <v>13</v>
      </c>
      <c r="R177" t="s">
        <v>31</v>
      </c>
      <c r="S177">
        <v>1</v>
      </c>
    </row>
    <row r="178" spans="4:19" x14ac:dyDescent="0.45">
      <c r="F178">
        <v>7</v>
      </c>
      <c r="I178" s="1" t="s">
        <v>19</v>
      </c>
      <c r="P178" t="s">
        <v>28</v>
      </c>
    </row>
    <row r="179" spans="4:19" x14ac:dyDescent="0.45">
      <c r="F179">
        <v>8</v>
      </c>
      <c r="I179">
        <v>3</v>
      </c>
      <c r="J179">
        <v>662</v>
      </c>
      <c r="K179" t="s">
        <v>13</v>
      </c>
      <c r="P179" t="s">
        <v>28</v>
      </c>
      <c r="Q179" t="s">
        <v>71</v>
      </c>
      <c r="R179" t="s">
        <v>32</v>
      </c>
      <c r="S179" t="s">
        <v>86</v>
      </c>
    </row>
    <row r="180" spans="4:19" x14ac:dyDescent="0.45">
      <c r="F180">
        <v>9</v>
      </c>
      <c r="I180">
        <v>1</v>
      </c>
      <c r="Q180" t="s">
        <v>61</v>
      </c>
    </row>
    <row r="181" spans="4:19" x14ac:dyDescent="0.45">
      <c r="F181">
        <v>11</v>
      </c>
      <c r="I181">
        <v>3</v>
      </c>
      <c r="J181">
        <v>728</v>
      </c>
      <c r="K181" t="s">
        <v>13</v>
      </c>
      <c r="Q181" t="s">
        <v>75</v>
      </c>
      <c r="R181" t="s">
        <v>31</v>
      </c>
      <c r="S181">
        <v>1</v>
      </c>
    </row>
    <row r="182" spans="4:19" x14ac:dyDescent="0.45">
      <c r="F182">
        <v>12</v>
      </c>
      <c r="I182">
        <v>1</v>
      </c>
      <c r="J182">
        <v>226</v>
      </c>
      <c r="K182" t="s">
        <v>14</v>
      </c>
      <c r="Q182" t="s">
        <v>61</v>
      </c>
      <c r="R182" t="s">
        <v>31</v>
      </c>
      <c r="S182">
        <v>1</v>
      </c>
    </row>
    <row r="183" spans="4:19" x14ac:dyDescent="0.45">
      <c r="F183">
        <v>12</v>
      </c>
      <c r="I183" t="s">
        <v>15</v>
      </c>
      <c r="J183">
        <v>557</v>
      </c>
      <c r="K183" t="s">
        <v>14</v>
      </c>
    </row>
    <row r="184" spans="4:19" x14ac:dyDescent="0.45">
      <c r="D184">
        <v>8</v>
      </c>
      <c r="F184">
        <v>2</v>
      </c>
      <c r="H184">
        <v>748</v>
      </c>
      <c r="I184">
        <v>2</v>
      </c>
      <c r="Q184" t="s">
        <v>45</v>
      </c>
    </row>
    <row r="185" spans="4:19" x14ac:dyDescent="0.45">
      <c r="F185">
        <v>5</v>
      </c>
      <c r="I185" t="s">
        <v>15</v>
      </c>
      <c r="J185">
        <v>96</v>
      </c>
      <c r="K185" t="s">
        <v>13</v>
      </c>
      <c r="R185" t="s">
        <v>34</v>
      </c>
      <c r="S185">
        <v>1</v>
      </c>
    </row>
    <row r="186" spans="4:19" x14ac:dyDescent="0.45">
      <c r="F186">
        <v>6</v>
      </c>
      <c r="I186">
        <v>6</v>
      </c>
      <c r="J186">
        <v>126</v>
      </c>
      <c r="K186" t="s">
        <v>13</v>
      </c>
      <c r="L186">
        <v>203</v>
      </c>
      <c r="M186" t="s">
        <v>13</v>
      </c>
      <c r="N186">
        <f>203+1-126</f>
        <v>78</v>
      </c>
      <c r="O186">
        <f>N186*80</f>
        <v>6240</v>
      </c>
      <c r="Q186" t="s">
        <v>72</v>
      </c>
      <c r="R186" t="s">
        <v>36</v>
      </c>
      <c r="S186">
        <v>1</v>
      </c>
    </row>
    <row r="187" spans="4:19" x14ac:dyDescent="0.45">
      <c r="F187">
        <v>8</v>
      </c>
      <c r="I187">
        <v>3</v>
      </c>
      <c r="L187">
        <v>60</v>
      </c>
      <c r="M187" t="s">
        <v>35</v>
      </c>
      <c r="N187">
        <f>60+748+1-662</f>
        <v>147</v>
      </c>
      <c r="O187">
        <f>N187*80</f>
        <v>11760</v>
      </c>
      <c r="P187" t="s">
        <v>28</v>
      </c>
      <c r="Q187" t="s">
        <v>71</v>
      </c>
      <c r="R187" t="s">
        <v>30</v>
      </c>
      <c r="S187" t="s">
        <v>86</v>
      </c>
    </row>
    <row r="188" spans="4:19" x14ac:dyDescent="0.45">
      <c r="F188">
        <v>8</v>
      </c>
      <c r="I188">
        <v>4</v>
      </c>
      <c r="J188">
        <v>582</v>
      </c>
      <c r="K188" t="s">
        <v>14</v>
      </c>
      <c r="Q188" t="s">
        <v>45</v>
      </c>
      <c r="R188" t="s">
        <v>31</v>
      </c>
      <c r="S188" t="s">
        <v>86</v>
      </c>
    </row>
    <row r="189" spans="4:19" x14ac:dyDescent="0.45">
      <c r="F189">
        <v>9</v>
      </c>
      <c r="I189">
        <v>1</v>
      </c>
      <c r="Q189" t="s">
        <v>61</v>
      </c>
    </row>
    <row r="190" spans="4:19" x14ac:dyDescent="0.45">
      <c r="F190">
        <v>11</v>
      </c>
      <c r="I190">
        <v>3</v>
      </c>
      <c r="P190" t="s">
        <v>92</v>
      </c>
      <c r="Q190" t="s">
        <v>61</v>
      </c>
    </row>
    <row r="191" spans="4:19" x14ac:dyDescent="0.45">
      <c r="F191">
        <v>12</v>
      </c>
      <c r="I191" t="s">
        <v>15</v>
      </c>
      <c r="L191">
        <v>14</v>
      </c>
      <c r="M191" t="s">
        <v>13</v>
      </c>
      <c r="N191" s="1" t="s">
        <v>19</v>
      </c>
      <c r="R191" t="s">
        <v>31</v>
      </c>
      <c r="S191">
        <v>1</v>
      </c>
    </row>
    <row r="192" spans="4:19" x14ac:dyDescent="0.45">
      <c r="F192">
        <v>12</v>
      </c>
      <c r="I192">
        <v>2</v>
      </c>
      <c r="L192">
        <v>141</v>
      </c>
      <c r="M192" t="s">
        <v>35</v>
      </c>
      <c r="N192" s="1" t="s">
        <v>19</v>
      </c>
      <c r="Q192" t="s">
        <v>80</v>
      </c>
      <c r="R192" t="s">
        <v>31</v>
      </c>
      <c r="S192">
        <v>1</v>
      </c>
    </row>
    <row r="193" spans="1:19" x14ac:dyDescent="0.45">
      <c r="D193">
        <v>9</v>
      </c>
      <c r="F193">
        <v>3</v>
      </c>
      <c r="H193">
        <v>748</v>
      </c>
      <c r="I193">
        <v>3</v>
      </c>
      <c r="J193">
        <v>228</v>
      </c>
      <c r="K193" t="s">
        <v>14</v>
      </c>
      <c r="P193" t="s">
        <v>93</v>
      </c>
      <c r="Q193" t="s">
        <v>40</v>
      </c>
      <c r="R193" t="s">
        <v>31</v>
      </c>
      <c r="S193">
        <v>1</v>
      </c>
    </row>
    <row r="194" spans="1:19" x14ac:dyDescent="0.45">
      <c r="F194">
        <v>5</v>
      </c>
      <c r="I194" t="s">
        <v>15</v>
      </c>
      <c r="L194">
        <v>100</v>
      </c>
      <c r="M194" t="s">
        <v>13</v>
      </c>
      <c r="R194" t="s">
        <v>32</v>
      </c>
      <c r="S194">
        <v>1</v>
      </c>
    </row>
    <row r="195" spans="1:19" x14ac:dyDescent="0.45">
      <c r="F195">
        <v>6</v>
      </c>
      <c r="I195">
        <v>7</v>
      </c>
      <c r="J195">
        <v>99</v>
      </c>
      <c r="K195" t="s">
        <v>14</v>
      </c>
      <c r="L195">
        <v>411</v>
      </c>
      <c r="M195" t="s">
        <v>26</v>
      </c>
      <c r="N195">
        <f>411+1-99</f>
        <v>313</v>
      </c>
      <c r="O195">
        <f>N195*80</f>
        <v>25040</v>
      </c>
      <c r="Q195" t="s">
        <v>40</v>
      </c>
      <c r="R195" t="s">
        <v>36</v>
      </c>
      <c r="S195">
        <v>1</v>
      </c>
    </row>
    <row r="196" spans="1:19" x14ac:dyDescent="0.45">
      <c r="F196">
        <v>8</v>
      </c>
      <c r="I196">
        <v>4</v>
      </c>
      <c r="L196">
        <v>152</v>
      </c>
      <c r="M196" t="s">
        <v>26</v>
      </c>
      <c r="N196">
        <f>152+748+1-582</f>
        <v>319</v>
      </c>
      <c r="O196">
        <f>N196*80</f>
        <v>25520</v>
      </c>
      <c r="P196" t="s">
        <v>28</v>
      </c>
      <c r="Q196" t="s">
        <v>45</v>
      </c>
      <c r="R196" t="s">
        <v>36</v>
      </c>
      <c r="S196" t="s">
        <v>86</v>
      </c>
    </row>
    <row r="197" spans="1:19" x14ac:dyDescent="0.45">
      <c r="F197">
        <v>9</v>
      </c>
      <c r="I197">
        <v>1</v>
      </c>
      <c r="Q197" t="s">
        <v>61</v>
      </c>
    </row>
    <row r="198" spans="1:19" x14ac:dyDescent="0.45">
      <c r="F198">
        <v>11</v>
      </c>
      <c r="I198">
        <v>3</v>
      </c>
      <c r="Q198" t="s">
        <v>61</v>
      </c>
    </row>
    <row r="199" spans="1:19" x14ac:dyDescent="0.45">
      <c r="F199">
        <v>12</v>
      </c>
      <c r="I199" s="1" t="s">
        <v>19</v>
      </c>
    </row>
    <row r="200" spans="1:19" x14ac:dyDescent="0.45">
      <c r="D200">
        <v>10</v>
      </c>
      <c r="F200">
        <v>3</v>
      </c>
      <c r="H200">
        <v>748</v>
      </c>
      <c r="I200">
        <v>3</v>
      </c>
      <c r="L200">
        <v>269</v>
      </c>
      <c r="M200" t="s">
        <v>13</v>
      </c>
      <c r="N200">
        <f>269+748+1-228</f>
        <v>790</v>
      </c>
      <c r="O200">
        <f>N200*80</f>
        <v>63200</v>
      </c>
      <c r="Q200" t="s">
        <v>61</v>
      </c>
      <c r="R200" t="s">
        <v>31</v>
      </c>
      <c r="S200">
        <v>1</v>
      </c>
    </row>
    <row r="201" spans="1:19" x14ac:dyDescent="0.45">
      <c r="F201">
        <v>5</v>
      </c>
      <c r="I201" t="s">
        <v>15</v>
      </c>
      <c r="P201" s="1"/>
    </row>
    <row r="202" spans="1:19" x14ac:dyDescent="0.45">
      <c r="F202">
        <v>9</v>
      </c>
      <c r="I202">
        <v>1</v>
      </c>
      <c r="Q202" t="s">
        <v>61</v>
      </c>
    </row>
    <row r="203" spans="1:19" x14ac:dyDescent="0.45">
      <c r="F203">
        <v>11</v>
      </c>
      <c r="I203">
        <v>3</v>
      </c>
      <c r="L203">
        <v>999</v>
      </c>
      <c r="M203" t="s">
        <v>111</v>
      </c>
      <c r="N203">
        <f>748*4-728+1</f>
        <v>2265</v>
      </c>
      <c r="O203" s="1" t="s">
        <v>19</v>
      </c>
      <c r="P203" t="s">
        <v>94</v>
      </c>
      <c r="Q203" t="s">
        <v>41</v>
      </c>
    </row>
    <row r="204" spans="1:19" x14ac:dyDescent="0.45">
      <c r="F204">
        <v>12</v>
      </c>
      <c r="I204" s="1" t="s">
        <v>19</v>
      </c>
    </row>
    <row r="205" spans="1:19" x14ac:dyDescent="0.45">
      <c r="D205">
        <v>11</v>
      </c>
      <c r="F205">
        <v>2</v>
      </c>
      <c r="H205">
        <v>748</v>
      </c>
      <c r="I205">
        <v>3</v>
      </c>
      <c r="Q205" t="s">
        <v>71</v>
      </c>
    </row>
    <row r="206" spans="1:19" x14ac:dyDescent="0.45">
      <c r="F206">
        <v>5</v>
      </c>
      <c r="I206" t="s">
        <v>15</v>
      </c>
    </row>
    <row r="207" spans="1:19" x14ac:dyDescent="0.45">
      <c r="F207">
        <v>9</v>
      </c>
      <c r="I207">
        <v>1</v>
      </c>
      <c r="Q207" t="s">
        <v>61</v>
      </c>
    </row>
    <row r="208" spans="1:19" x14ac:dyDescent="0.45">
      <c r="A208" t="s">
        <v>113</v>
      </c>
      <c r="B208" t="s">
        <v>112</v>
      </c>
      <c r="C208" t="s">
        <v>114</v>
      </c>
      <c r="D208">
        <v>0</v>
      </c>
      <c r="E208">
        <v>80</v>
      </c>
      <c r="F208">
        <v>1</v>
      </c>
      <c r="H208">
        <v>748</v>
      </c>
      <c r="I208" s="1" t="s">
        <v>19</v>
      </c>
      <c r="P208" t="s">
        <v>28</v>
      </c>
    </row>
    <row r="209" spans="4:19" x14ac:dyDescent="0.45">
      <c r="F209">
        <v>2</v>
      </c>
      <c r="H209">
        <v>748</v>
      </c>
      <c r="I209">
        <v>1</v>
      </c>
      <c r="J209">
        <v>494</v>
      </c>
      <c r="K209" t="s">
        <v>13</v>
      </c>
      <c r="Q209" t="s">
        <v>40</v>
      </c>
      <c r="R209" t="s">
        <v>36</v>
      </c>
      <c r="S209">
        <v>2</v>
      </c>
    </row>
    <row r="210" spans="4:19" x14ac:dyDescent="0.45">
      <c r="F210">
        <v>3</v>
      </c>
      <c r="H210">
        <v>748</v>
      </c>
      <c r="I210" t="s">
        <v>121</v>
      </c>
      <c r="L210">
        <v>103</v>
      </c>
      <c r="M210" t="s">
        <v>35</v>
      </c>
      <c r="N210" t="s">
        <v>116</v>
      </c>
      <c r="O210" s="1" t="s">
        <v>19</v>
      </c>
      <c r="P210" t="s">
        <v>115</v>
      </c>
      <c r="R210" t="s">
        <v>31</v>
      </c>
      <c r="S210">
        <v>1</v>
      </c>
    </row>
    <row r="211" spans="4:19" x14ac:dyDescent="0.45">
      <c r="F211">
        <v>3</v>
      </c>
      <c r="H211">
        <v>748</v>
      </c>
      <c r="I211" t="s">
        <v>120</v>
      </c>
      <c r="Q211" t="s">
        <v>67</v>
      </c>
      <c r="R211" t="s">
        <v>31</v>
      </c>
    </row>
    <row r="212" spans="4:19" x14ac:dyDescent="0.45">
      <c r="F212">
        <v>3</v>
      </c>
      <c r="H212">
        <v>748</v>
      </c>
      <c r="I212" t="s">
        <v>154</v>
      </c>
      <c r="J212">
        <v>639</v>
      </c>
      <c r="K212" t="s">
        <v>13</v>
      </c>
      <c r="Q212" t="s">
        <v>117</v>
      </c>
      <c r="R212" t="s">
        <v>31</v>
      </c>
    </row>
    <row r="213" spans="4:19" x14ac:dyDescent="0.45">
      <c r="F213">
        <v>4</v>
      </c>
      <c r="H213">
        <v>748</v>
      </c>
      <c r="I213">
        <v>1</v>
      </c>
      <c r="J213">
        <v>86</v>
      </c>
      <c r="K213" t="s">
        <v>14</v>
      </c>
      <c r="Q213" t="s">
        <v>61</v>
      </c>
      <c r="R213" t="s">
        <v>31</v>
      </c>
      <c r="S213">
        <v>1</v>
      </c>
    </row>
    <row r="214" spans="4:19" x14ac:dyDescent="0.45">
      <c r="F214">
        <v>4</v>
      </c>
      <c r="H214">
        <v>748</v>
      </c>
      <c r="I214">
        <v>2</v>
      </c>
      <c r="J214">
        <v>539</v>
      </c>
      <c r="K214" t="s">
        <v>13</v>
      </c>
      <c r="Q214" t="s">
        <v>72</v>
      </c>
      <c r="R214" t="s">
        <v>31</v>
      </c>
    </row>
    <row r="215" spans="4:19" x14ac:dyDescent="0.45">
      <c r="F215">
        <v>4</v>
      </c>
      <c r="H215">
        <v>748</v>
      </c>
      <c r="I215" t="s">
        <v>121</v>
      </c>
      <c r="L215">
        <v>699</v>
      </c>
      <c r="M215" t="s">
        <v>35</v>
      </c>
      <c r="N215" s="1" t="s">
        <v>19</v>
      </c>
    </row>
    <row r="216" spans="4:19" x14ac:dyDescent="0.45">
      <c r="F216">
        <v>5</v>
      </c>
      <c r="H216">
        <v>748</v>
      </c>
      <c r="I216" s="1" t="s">
        <v>19</v>
      </c>
      <c r="P216" t="s">
        <v>28</v>
      </c>
    </row>
    <row r="217" spans="4:19" x14ac:dyDescent="0.45">
      <c r="F217">
        <v>6</v>
      </c>
      <c r="H217">
        <v>748</v>
      </c>
      <c r="I217">
        <v>1</v>
      </c>
      <c r="L217">
        <v>250</v>
      </c>
      <c r="M217" t="s">
        <v>26</v>
      </c>
      <c r="N217" t="s">
        <v>118</v>
      </c>
      <c r="O217" s="1" t="s">
        <v>19</v>
      </c>
      <c r="Q217" t="s">
        <v>40</v>
      </c>
      <c r="R217" t="s">
        <v>31</v>
      </c>
      <c r="S217">
        <v>1</v>
      </c>
    </row>
    <row r="218" spans="4:19" x14ac:dyDescent="0.45">
      <c r="F218">
        <v>7</v>
      </c>
      <c r="H218">
        <v>748</v>
      </c>
      <c r="I218" s="1" t="s">
        <v>19</v>
      </c>
      <c r="P218" t="s">
        <v>28</v>
      </c>
    </row>
    <row r="219" spans="4:19" x14ac:dyDescent="0.45">
      <c r="F219">
        <v>8</v>
      </c>
      <c r="H219">
        <v>748</v>
      </c>
      <c r="I219">
        <v>1</v>
      </c>
      <c r="Q219" t="s">
        <v>40</v>
      </c>
      <c r="R219" t="s">
        <v>31</v>
      </c>
      <c r="S219">
        <v>1</v>
      </c>
    </row>
    <row r="220" spans="4:19" x14ac:dyDescent="0.45">
      <c r="F220">
        <v>8</v>
      </c>
      <c r="H220">
        <v>748</v>
      </c>
      <c r="I220">
        <v>2</v>
      </c>
      <c r="J220">
        <v>724</v>
      </c>
      <c r="K220" t="s">
        <v>13</v>
      </c>
      <c r="Q220" t="s">
        <v>44</v>
      </c>
      <c r="R220" t="s">
        <v>32</v>
      </c>
    </row>
    <row r="221" spans="4:19" x14ac:dyDescent="0.45">
      <c r="D221">
        <v>1</v>
      </c>
      <c r="E221">
        <v>80</v>
      </c>
      <c r="F221">
        <v>1</v>
      </c>
      <c r="H221">
        <v>748</v>
      </c>
      <c r="P221" t="s">
        <v>28</v>
      </c>
    </row>
    <row r="222" spans="4:19" x14ac:dyDescent="0.45">
      <c r="F222">
        <v>2</v>
      </c>
      <c r="H222">
        <v>748</v>
      </c>
      <c r="I222">
        <v>1</v>
      </c>
      <c r="L222">
        <v>185</v>
      </c>
      <c r="M222" t="s">
        <v>26</v>
      </c>
      <c r="N222">
        <f>185+748-494+1</f>
        <v>440</v>
      </c>
      <c r="O222">
        <f>N222*80</f>
        <v>35200</v>
      </c>
      <c r="Q222" t="s">
        <v>40</v>
      </c>
      <c r="R222" t="s">
        <v>34</v>
      </c>
    </row>
    <row r="223" spans="4:19" x14ac:dyDescent="0.45">
      <c r="F223">
        <v>3</v>
      </c>
      <c r="H223">
        <v>748</v>
      </c>
      <c r="I223" t="s">
        <v>15</v>
      </c>
      <c r="Q223" t="s">
        <v>119</v>
      </c>
      <c r="R223" t="s">
        <v>31</v>
      </c>
    </row>
    <row r="224" spans="4:19" x14ac:dyDescent="0.45">
      <c r="F224">
        <v>4</v>
      </c>
      <c r="H224">
        <v>748</v>
      </c>
      <c r="I224" t="s">
        <v>120</v>
      </c>
      <c r="L224">
        <v>32</v>
      </c>
      <c r="M224" t="s">
        <v>13</v>
      </c>
      <c r="N224" s="1" t="s">
        <v>19</v>
      </c>
      <c r="Q224" t="s">
        <v>72</v>
      </c>
      <c r="R224" t="s">
        <v>31</v>
      </c>
    </row>
    <row r="225" spans="4:19" x14ac:dyDescent="0.45">
      <c r="F225">
        <v>6</v>
      </c>
      <c r="H225">
        <v>748</v>
      </c>
      <c r="I225" s="1" t="s">
        <v>19</v>
      </c>
    </row>
    <row r="226" spans="4:19" x14ac:dyDescent="0.45">
      <c r="F226">
        <v>8</v>
      </c>
      <c r="H226">
        <v>748</v>
      </c>
      <c r="I226" t="s">
        <v>121</v>
      </c>
      <c r="L226">
        <v>327</v>
      </c>
      <c r="M226" t="s">
        <v>13</v>
      </c>
      <c r="N226" s="1" t="s">
        <v>19</v>
      </c>
      <c r="Q226" t="s">
        <v>44</v>
      </c>
      <c r="R226" t="s">
        <v>32</v>
      </c>
    </row>
    <row r="227" spans="4:19" x14ac:dyDescent="0.45">
      <c r="F227">
        <v>8</v>
      </c>
      <c r="H227">
        <v>748</v>
      </c>
      <c r="I227" t="s">
        <v>120</v>
      </c>
      <c r="L227">
        <v>445</v>
      </c>
      <c r="M227" t="s">
        <v>13</v>
      </c>
      <c r="N227" s="1" t="s">
        <v>19</v>
      </c>
      <c r="Q227" t="s">
        <v>44</v>
      </c>
      <c r="R227" t="s">
        <v>32</v>
      </c>
    </row>
    <row r="228" spans="4:19" x14ac:dyDescent="0.45">
      <c r="F228">
        <v>9</v>
      </c>
      <c r="H228">
        <v>748</v>
      </c>
      <c r="I228" s="1" t="s">
        <v>19</v>
      </c>
      <c r="P228" t="s">
        <v>28</v>
      </c>
    </row>
    <row r="229" spans="4:19" x14ac:dyDescent="0.45">
      <c r="F229">
        <v>10</v>
      </c>
      <c r="H229">
        <v>748</v>
      </c>
      <c r="I229">
        <v>1</v>
      </c>
      <c r="J229">
        <v>593</v>
      </c>
      <c r="K229" t="s">
        <v>14</v>
      </c>
      <c r="P229" t="s">
        <v>122</v>
      </c>
      <c r="Q229" t="s">
        <v>61</v>
      </c>
      <c r="R229" t="s">
        <v>32</v>
      </c>
      <c r="S229">
        <v>1</v>
      </c>
    </row>
    <row r="230" spans="4:19" x14ac:dyDescent="0.45">
      <c r="D230">
        <v>2</v>
      </c>
      <c r="E230">
        <v>80</v>
      </c>
      <c r="F230">
        <v>3</v>
      </c>
      <c r="H230">
        <v>748</v>
      </c>
      <c r="I230" t="s">
        <v>121</v>
      </c>
      <c r="L230">
        <v>153</v>
      </c>
      <c r="M230" t="s">
        <v>13</v>
      </c>
      <c r="N230" s="1" t="s">
        <v>19</v>
      </c>
      <c r="Q230" t="s">
        <v>44</v>
      </c>
      <c r="R230" t="s">
        <v>31</v>
      </c>
    </row>
    <row r="231" spans="4:19" x14ac:dyDescent="0.45">
      <c r="F231">
        <v>3</v>
      </c>
      <c r="H231">
        <v>748</v>
      </c>
      <c r="I231" t="s">
        <v>120</v>
      </c>
      <c r="Q231" t="s">
        <v>44</v>
      </c>
      <c r="R231" t="s">
        <v>31</v>
      </c>
    </row>
    <row r="232" spans="4:19" x14ac:dyDescent="0.45">
      <c r="F232">
        <v>6</v>
      </c>
      <c r="H232">
        <v>748</v>
      </c>
      <c r="I232" s="1" t="s">
        <v>19</v>
      </c>
      <c r="P232" t="s">
        <v>28</v>
      </c>
    </row>
    <row r="233" spans="4:19" x14ac:dyDescent="0.45">
      <c r="F233">
        <v>10</v>
      </c>
      <c r="H233">
        <v>748</v>
      </c>
      <c r="I233">
        <v>1</v>
      </c>
      <c r="L233">
        <v>336</v>
      </c>
      <c r="M233" t="s">
        <v>35</v>
      </c>
      <c r="N233">
        <f>336+748-593+1</f>
        <v>492</v>
      </c>
      <c r="O233">
        <f>N233*80</f>
        <v>39360</v>
      </c>
      <c r="P233" t="s">
        <v>122</v>
      </c>
      <c r="Q233" t="s">
        <v>61</v>
      </c>
      <c r="R233" t="s">
        <v>31</v>
      </c>
    </row>
    <row r="234" spans="4:19" x14ac:dyDescent="0.45">
      <c r="F234">
        <v>11</v>
      </c>
      <c r="H234">
        <v>748</v>
      </c>
      <c r="I234" s="1" t="s">
        <v>19</v>
      </c>
      <c r="P234" t="s">
        <v>122</v>
      </c>
    </row>
    <row r="235" spans="4:19" x14ac:dyDescent="0.45">
      <c r="F235">
        <v>12</v>
      </c>
      <c r="H235">
        <v>748</v>
      </c>
      <c r="I235" s="1" t="s">
        <v>19</v>
      </c>
      <c r="P235" t="s">
        <v>28</v>
      </c>
    </row>
    <row r="236" spans="4:19" x14ac:dyDescent="0.45">
      <c r="F236">
        <v>13</v>
      </c>
      <c r="H236">
        <v>748</v>
      </c>
      <c r="I236" s="1" t="s">
        <v>19</v>
      </c>
      <c r="P236" t="s">
        <v>28</v>
      </c>
    </row>
    <row r="237" spans="4:19" x14ac:dyDescent="0.45">
      <c r="D237">
        <v>3</v>
      </c>
      <c r="E237">
        <v>80</v>
      </c>
      <c r="F237">
        <v>3</v>
      </c>
      <c r="H237">
        <v>748</v>
      </c>
      <c r="I237" t="s">
        <v>120</v>
      </c>
      <c r="M237" s="1" t="s">
        <v>19</v>
      </c>
      <c r="N237" s="1" t="s">
        <v>19</v>
      </c>
      <c r="P237" t="s">
        <v>123</v>
      </c>
      <c r="Q237" t="s">
        <v>40</v>
      </c>
      <c r="R237" t="s">
        <v>31</v>
      </c>
    </row>
    <row r="238" spans="4:19" x14ac:dyDescent="0.45">
      <c r="F238">
        <v>6</v>
      </c>
      <c r="H238">
        <v>748</v>
      </c>
      <c r="I238" s="1" t="s">
        <v>19</v>
      </c>
      <c r="P238" t="s">
        <v>28</v>
      </c>
    </row>
    <row r="239" spans="4:19" x14ac:dyDescent="0.45">
      <c r="F239">
        <v>12</v>
      </c>
      <c r="H239">
        <v>748</v>
      </c>
      <c r="I239" s="1" t="s">
        <v>19</v>
      </c>
      <c r="P239" t="s">
        <v>28</v>
      </c>
    </row>
    <row r="240" spans="4:19" x14ac:dyDescent="0.45">
      <c r="F240">
        <v>14</v>
      </c>
      <c r="H240">
        <v>748</v>
      </c>
      <c r="I240" s="1" t="s">
        <v>19</v>
      </c>
      <c r="P240" t="s">
        <v>28</v>
      </c>
    </row>
    <row r="241" spans="4:19" x14ac:dyDescent="0.45">
      <c r="D241">
        <v>4</v>
      </c>
      <c r="E241">
        <v>80</v>
      </c>
      <c r="F241">
        <v>6</v>
      </c>
      <c r="H241">
        <v>748</v>
      </c>
      <c r="I241" s="1" t="s">
        <v>19</v>
      </c>
      <c r="P241" t="s">
        <v>28</v>
      </c>
    </row>
    <row r="242" spans="4:19" x14ac:dyDescent="0.45">
      <c r="F242">
        <v>15</v>
      </c>
      <c r="H242">
        <v>748</v>
      </c>
      <c r="I242">
        <v>1</v>
      </c>
      <c r="J242">
        <v>414</v>
      </c>
      <c r="K242" t="s">
        <v>14</v>
      </c>
      <c r="Q242" t="s">
        <v>40</v>
      </c>
      <c r="R242" t="s">
        <v>32</v>
      </c>
      <c r="S242">
        <v>1</v>
      </c>
    </row>
    <row r="243" spans="4:19" x14ac:dyDescent="0.45">
      <c r="F243">
        <v>15</v>
      </c>
      <c r="H243">
        <v>748</v>
      </c>
      <c r="I243">
        <v>1</v>
      </c>
      <c r="L243">
        <v>729</v>
      </c>
      <c r="M243" t="s">
        <v>26</v>
      </c>
      <c r="N243">
        <f>729-414+1</f>
        <v>316</v>
      </c>
      <c r="O243">
        <f>N243*80</f>
        <v>25280</v>
      </c>
      <c r="Q243" t="s">
        <v>40</v>
      </c>
      <c r="R243" t="s">
        <v>34</v>
      </c>
    </row>
    <row r="244" spans="4:19" x14ac:dyDescent="0.45">
      <c r="F244">
        <v>16</v>
      </c>
      <c r="H244">
        <v>748</v>
      </c>
      <c r="I244">
        <v>1</v>
      </c>
      <c r="J244">
        <v>289</v>
      </c>
      <c r="K244" t="s">
        <v>13</v>
      </c>
      <c r="Q244" t="s">
        <v>72</v>
      </c>
      <c r="R244" t="s">
        <v>31</v>
      </c>
      <c r="S244">
        <v>1</v>
      </c>
    </row>
    <row r="245" spans="4:19" x14ac:dyDescent="0.45">
      <c r="F245">
        <v>16</v>
      </c>
      <c r="H245">
        <v>748</v>
      </c>
      <c r="I245">
        <v>1</v>
      </c>
      <c r="L245">
        <v>504</v>
      </c>
      <c r="M245" t="s">
        <v>13</v>
      </c>
      <c r="N245">
        <f>504-289+1</f>
        <v>216</v>
      </c>
      <c r="O245">
        <f>N245*80</f>
        <v>17280</v>
      </c>
      <c r="Q245" t="s">
        <v>72</v>
      </c>
      <c r="R245" t="s">
        <v>31</v>
      </c>
    </row>
    <row r="246" spans="4:19" x14ac:dyDescent="0.45">
      <c r="F246">
        <v>16</v>
      </c>
      <c r="H246">
        <v>748</v>
      </c>
      <c r="I246">
        <v>2</v>
      </c>
      <c r="J246">
        <v>545</v>
      </c>
      <c r="K246" t="s">
        <v>13</v>
      </c>
      <c r="Q246" t="s">
        <v>44</v>
      </c>
      <c r="R246" t="s">
        <v>31</v>
      </c>
    </row>
    <row r="247" spans="4:19" x14ac:dyDescent="0.45">
      <c r="F247">
        <v>16</v>
      </c>
      <c r="H247">
        <v>748</v>
      </c>
      <c r="I247">
        <v>3</v>
      </c>
      <c r="J247">
        <v>575</v>
      </c>
      <c r="K247" t="s">
        <v>13</v>
      </c>
      <c r="Q247" t="s">
        <v>125</v>
      </c>
      <c r="R247" t="s">
        <v>31</v>
      </c>
    </row>
    <row r="248" spans="4:19" x14ac:dyDescent="0.45">
      <c r="F248">
        <v>16</v>
      </c>
      <c r="H248">
        <v>748</v>
      </c>
      <c r="I248">
        <v>3</v>
      </c>
      <c r="L248">
        <v>609</v>
      </c>
      <c r="M248" t="s">
        <v>13</v>
      </c>
      <c r="N248">
        <f>609-575+1</f>
        <v>35</v>
      </c>
      <c r="O248">
        <f>N248*80</f>
        <v>2800</v>
      </c>
      <c r="Q248" t="s">
        <v>13</v>
      </c>
      <c r="R248" t="s">
        <v>31</v>
      </c>
    </row>
    <row r="249" spans="4:19" x14ac:dyDescent="0.45">
      <c r="F249">
        <v>17</v>
      </c>
      <c r="H249">
        <v>748</v>
      </c>
      <c r="I249">
        <v>1</v>
      </c>
      <c r="J249">
        <v>120</v>
      </c>
      <c r="K249" t="s">
        <v>13</v>
      </c>
      <c r="Q249" t="s">
        <v>72</v>
      </c>
      <c r="R249" t="s">
        <v>32</v>
      </c>
      <c r="S249">
        <v>1</v>
      </c>
    </row>
    <row r="250" spans="4:19" x14ac:dyDescent="0.45">
      <c r="D250">
        <v>5</v>
      </c>
      <c r="E250">
        <v>80</v>
      </c>
      <c r="F250">
        <v>6</v>
      </c>
      <c r="H250">
        <v>748</v>
      </c>
      <c r="I250" s="1" t="s">
        <v>19</v>
      </c>
      <c r="P250" t="s">
        <v>28</v>
      </c>
    </row>
    <row r="251" spans="4:19" x14ac:dyDescent="0.45">
      <c r="F251">
        <v>16</v>
      </c>
      <c r="H251">
        <v>748</v>
      </c>
      <c r="I251">
        <v>2</v>
      </c>
      <c r="Q251" t="s">
        <v>44</v>
      </c>
      <c r="R251" t="s">
        <v>31</v>
      </c>
    </row>
    <row r="252" spans="4:19" x14ac:dyDescent="0.45">
      <c r="F252">
        <v>17</v>
      </c>
      <c r="H252">
        <v>748</v>
      </c>
      <c r="I252">
        <v>1</v>
      </c>
      <c r="Q252" t="s">
        <v>72</v>
      </c>
      <c r="R252" t="s">
        <v>32</v>
      </c>
    </row>
    <row r="253" spans="4:19" x14ac:dyDescent="0.45">
      <c r="D253">
        <v>6</v>
      </c>
      <c r="E253">
        <v>80</v>
      </c>
      <c r="F253">
        <v>13</v>
      </c>
      <c r="H253">
        <v>748</v>
      </c>
      <c r="I253" s="1" t="s">
        <v>19</v>
      </c>
      <c r="P253" t="s">
        <v>28</v>
      </c>
    </row>
    <row r="254" spans="4:19" x14ac:dyDescent="0.45">
      <c r="F254">
        <v>16</v>
      </c>
      <c r="H254">
        <v>748</v>
      </c>
      <c r="I254">
        <v>2</v>
      </c>
      <c r="L254">
        <v>738</v>
      </c>
      <c r="M254" t="s">
        <v>13</v>
      </c>
      <c r="N254">
        <f>738+748*1-545+1</f>
        <v>942</v>
      </c>
      <c r="O254">
        <f>N254*80</f>
        <v>75360</v>
      </c>
      <c r="Q254" t="s">
        <v>44</v>
      </c>
      <c r="R254" t="s">
        <v>31</v>
      </c>
    </row>
    <row r="255" spans="4:19" x14ac:dyDescent="0.45">
      <c r="F255">
        <v>17</v>
      </c>
      <c r="H255">
        <v>748</v>
      </c>
      <c r="I255">
        <v>1</v>
      </c>
      <c r="Q255" t="s">
        <v>72</v>
      </c>
      <c r="R255" t="s">
        <v>34</v>
      </c>
    </row>
    <row r="256" spans="4:19" x14ac:dyDescent="0.45">
      <c r="D256">
        <v>7</v>
      </c>
      <c r="E256">
        <v>80</v>
      </c>
      <c r="F256">
        <v>2</v>
      </c>
      <c r="H256">
        <v>748</v>
      </c>
      <c r="I256">
        <v>2</v>
      </c>
      <c r="J256">
        <v>318</v>
      </c>
      <c r="K256" t="s">
        <v>14</v>
      </c>
      <c r="Q256" t="s">
        <v>40</v>
      </c>
      <c r="R256" t="s">
        <v>32</v>
      </c>
    </row>
    <row r="257" spans="4:18" x14ac:dyDescent="0.45">
      <c r="F257">
        <v>2</v>
      </c>
      <c r="H257">
        <v>748</v>
      </c>
      <c r="I257">
        <v>2</v>
      </c>
      <c r="L257">
        <v>712</v>
      </c>
      <c r="M257" t="s">
        <v>13</v>
      </c>
      <c r="N257">
        <f>712-318+1</f>
        <v>395</v>
      </c>
      <c r="O257">
        <f>N257*80</f>
        <v>31600</v>
      </c>
      <c r="Q257" t="s">
        <v>40</v>
      </c>
      <c r="R257" t="s">
        <v>31</v>
      </c>
    </row>
    <row r="258" spans="4:18" x14ac:dyDescent="0.45">
      <c r="F258">
        <v>7</v>
      </c>
      <c r="H258">
        <v>748</v>
      </c>
      <c r="I258" s="1" t="s">
        <v>19</v>
      </c>
      <c r="P258" t="s">
        <v>28</v>
      </c>
    </row>
    <row r="259" spans="4:18" x14ac:dyDescent="0.45">
      <c r="F259">
        <v>8</v>
      </c>
      <c r="H259">
        <v>748</v>
      </c>
      <c r="I259">
        <v>3</v>
      </c>
      <c r="J259">
        <v>-999</v>
      </c>
      <c r="K259" t="s">
        <v>111</v>
      </c>
      <c r="Q259" t="s">
        <v>61</v>
      </c>
      <c r="R259" t="s">
        <v>31</v>
      </c>
    </row>
    <row r="260" spans="4:18" x14ac:dyDescent="0.45">
      <c r="F260">
        <v>13</v>
      </c>
      <c r="H260">
        <v>748</v>
      </c>
      <c r="I260" s="1" t="s">
        <v>19</v>
      </c>
      <c r="P260" t="s">
        <v>28</v>
      </c>
    </row>
    <row r="261" spans="4:18" x14ac:dyDescent="0.45">
      <c r="F261">
        <v>17</v>
      </c>
      <c r="H261">
        <v>748</v>
      </c>
      <c r="I261">
        <v>1</v>
      </c>
      <c r="Q261" t="s">
        <v>61</v>
      </c>
      <c r="R261" t="s">
        <v>34</v>
      </c>
    </row>
    <row r="262" spans="4:18" x14ac:dyDescent="0.45">
      <c r="D262">
        <v>8</v>
      </c>
      <c r="E262">
        <v>80</v>
      </c>
      <c r="F262">
        <v>2</v>
      </c>
      <c r="H262">
        <v>748</v>
      </c>
      <c r="I262">
        <v>3</v>
      </c>
      <c r="J262">
        <v>-999</v>
      </c>
      <c r="K262" t="s">
        <v>111</v>
      </c>
      <c r="Q262" t="s">
        <v>40</v>
      </c>
      <c r="R262" t="s">
        <v>31</v>
      </c>
    </row>
    <row r="263" spans="4:18" x14ac:dyDescent="0.45">
      <c r="F263">
        <v>2</v>
      </c>
      <c r="H263">
        <v>748</v>
      </c>
      <c r="I263">
        <v>3</v>
      </c>
      <c r="L263">
        <v>222</v>
      </c>
      <c r="M263" t="s">
        <v>13</v>
      </c>
      <c r="N263">
        <f>222</f>
        <v>222</v>
      </c>
      <c r="O263">
        <f>N263*80</f>
        <v>17760</v>
      </c>
      <c r="Q263" t="s">
        <v>40</v>
      </c>
      <c r="R263" t="s">
        <v>31</v>
      </c>
    </row>
    <row r="264" spans="4:18" x14ac:dyDescent="0.45">
      <c r="F264">
        <v>7</v>
      </c>
      <c r="H264">
        <v>748</v>
      </c>
      <c r="I264" s="1" t="s">
        <v>19</v>
      </c>
      <c r="P264" t="s">
        <v>28</v>
      </c>
    </row>
    <row r="265" spans="4:18" x14ac:dyDescent="0.45">
      <c r="F265">
        <v>8</v>
      </c>
      <c r="H265">
        <v>748</v>
      </c>
      <c r="I265">
        <v>3</v>
      </c>
      <c r="L265">
        <v>503</v>
      </c>
      <c r="M265" t="s">
        <v>13</v>
      </c>
      <c r="N265">
        <f>503+748</f>
        <v>1251</v>
      </c>
      <c r="O265">
        <f>N265*80</f>
        <v>100080</v>
      </c>
      <c r="P265" t="s">
        <v>126</v>
      </c>
      <c r="Q265" t="s">
        <v>61</v>
      </c>
      <c r="R265" t="s">
        <v>36</v>
      </c>
    </row>
    <row r="266" spans="4:18" x14ac:dyDescent="0.45">
      <c r="F266">
        <v>8</v>
      </c>
      <c r="H266">
        <v>748</v>
      </c>
      <c r="I266">
        <v>4</v>
      </c>
      <c r="J266">
        <v>57</v>
      </c>
      <c r="K266" t="s">
        <v>13</v>
      </c>
      <c r="Q266" t="s">
        <v>72</v>
      </c>
      <c r="R266" t="s">
        <v>31</v>
      </c>
    </row>
    <row r="267" spans="4:18" x14ac:dyDescent="0.45">
      <c r="F267">
        <v>17</v>
      </c>
      <c r="H267">
        <v>748</v>
      </c>
      <c r="I267">
        <v>1</v>
      </c>
      <c r="Q267" t="s">
        <v>61</v>
      </c>
      <c r="R267" t="s">
        <v>34</v>
      </c>
    </row>
    <row r="268" spans="4:18" x14ac:dyDescent="0.45">
      <c r="D268">
        <v>9</v>
      </c>
      <c r="E268">
        <v>80</v>
      </c>
      <c r="F268">
        <v>2</v>
      </c>
      <c r="H268">
        <v>748</v>
      </c>
      <c r="I268">
        <v>4</v>
      </c>
      <c r="J268">
        <v>601</v>
      </c>
      <c r="K268" t="s">
        <v>14</v>
      </c>
      <c r="Q268" t="s">
        <v>40</v>
      </c>
      <c r="R268" t="s">
        <v>31</v>
      </c>
    </row>
    <row r="269" spans="4:18" x14ac:dyDescent="0.45">
      <c r="F269">
        <v>7</v>
      </c>
      <c r="H269">
        <v>748</v>
      </c>
      <c r="I269" s="1" t="s">
        <v>19</v>
      </c>
      <c r="P269" t="s">
        <v>28</v>
      </c>
    </row>
    <row r="270" spans="4:18" x14ac:dyDescent="0.45">
      <c r="F270">
        <v>8</v>
      </c>
      <c r="H270">
        <v>748</v>
      </c>
      <c r="I270">
        <v>4</v>
      </c>
      <c r="Q270" t="s">
        <v>61</v>
      </c>
      <c r="R270" t="s">
        <v>32</v>
      </c>
    </row>
    <row r="271" spans="4:18" x14ac:dyDescent="0.45">
      <c r="F271">
        <v>17</v>
      </c>
      <c r="H271">
        <v>748</v>
      </c>
      <c r="I271">
        <v>1</v>
      </c>
      <c r="Q271" t="s">
        <v>61</v>
      </c>
    </row>
    <row r="272" spans="4:18" x14ac:dyDescent="0.45">
      <c r="F272">
        <v>17</v>
      </c>
      <c r="H272">
        <v>748</v>
      </c>
      <c r="I272">
        <v>2</v>
      </c>
      <c r="J272">
        <v>232</v>
      </c>
      <c r="K272" t="s">
        <v>13</v>
      </c>
      <c r="P272" t="s">
        <v>129</v>
      </c>
      <c r="Q272" t="s">
        <v>40</v>
      </c>
      <c r="R272" t="s">
        <v>31</v>
      </c>
    </row>
    <row r="273" spans="4:18" x14ac:dyDescent="0.45">
      <c r="D273">
        <v>10</v>
      </c>
      <c r="E273">
        <v>80</v>
      </c>
      <c r="F273">
        <v>2</v>
      </c>
      <c r="H273">
        <v>748</v>
      </c>
      <c r="I273">
        <v>4</v>
      </c>
      <c r="L273">
        <v>42</v>
      </c>
      <c r="M273" t="s">
        <v>13</v>
      </c>
      <c r="N273">
        <f>42+748*1-601+1</f>
        <v>190</v>
      </c>
      <c r="O273">
        <f>N273*80</f>
        <v>15200</v>
      </c>
      <c r="Q273" t="s">
        <v>40</v>
      </c>
      <c r="R273" t="s">
        <v>31</v>
      </c>
    </row>
    <row r="274" spans="4:18" x14ac:dyDescent="0.45">
      <c r="F274">
        <v>2</v>
      </c>
      <c r="H274">
        <v>748</v>
      </c>
      <c r="I274">
        <v>5</v>
      </c>
      <c r="J274">
        <v>707</v>
      </c>
      <c r="K274" t="s">
        <v>13</v>
      </c>
      <c r="Q274" t="s">
        <v>127</v>
      </c>
      <c r="R274" t="s">
        <v>32</v>
      </c>
    </row>
    <row r="275" spans="4:18" x14ac:dyDescent="0.45">
      <c r="F275">
        <v>8</v>
      </c>
      <c r="H275">
        <v>748</v>
      </c>
      <c r="I275">
        <v>4</v>
      </c>
      <c r="Q275" t="s">
        <v>61</v>
      </c>
      <c r="R275" t="s">
        <v>32</v>
      </c>
    </row>
    <row r="276" spans="4:18" x14ac:dyDescent="0.45">
      <c r="F276">
        <v>10</v>
      </c>
      <c r="H276">
        <v>748</v>
      </c>
      <c r="I276">
        <v>2</v>
      </c>
      <c r="J276">
        <v>467</v>
      </c>
      <c r="K276" t="s">
        <v>13</v>
      </c>
      <c r="P276" t="s">
        <v>122</v>
      </c>
      <c r="Q276" t="s">
        <v>128</v>
      </c>
      <c r="R276" t="s">
        <v>31</v>
      </c>
    </row>
    <row r="277" spans="4:18" x14ac:dyDescent="0.45">
      <c r="F277">
        <v>13</v>
      </c>
      <c r="H277">
        <v>748</v>
      </c>
      <c r="I277" s="1" t="s">
        <v>19</v>
      </c>
      <c r="P277" t="s">
        <v>28</v>
      </c>
    </row>
    <row r="278" spans="4:18" x14ac:dyDescent="0.45">
      <c r="F278">
        <v>15</v>
      </c>
      <c r="H278">
        <v>748</v>
      </c>
      <c r="I278">
        <v>2</v>
      </c>
      <c r="J278">
        <v>363</v>
      </c>
      <c r="K278" t="s">
        <v>14</v>
      </c>
      <c r="Q278" t="s">
        <v>40</v>
      </c>
      <c r="R278" t="s">
        <v>34</v>
      </c>
    </row>
    <row r="279" spans="4:18" x14ac:dyDescent="0.45">
      <c r="F279">
        <v>17</v>
      </c>
      <c r="H279">
        <v>748</v>
      </c>
      <c r="I279">
        <v>1</v>
      </c>
      <c r="L279">
        <v>563</v>
      </c>
      <c r="M279" t="s">
        <v>13</v>
      </c>
      <c r="N279">
        <f>563+748*6-120+1</f>
        <v>4932</v>
      </c>
      <c r="O279">
        <f>N279*80</f>
        <v>394560</v>
      </c>
      <c r="Q279" t="s">
        <v>61</v>
      </c>
      <c r="R279" t="s">
        <v>31</v>
      </c>
    </row>
    <row r="280" spans="4:18" x14ac:dyDescent="0.45">
      <c r="F280">
        <v>17</v>
      </c>
      <c r="H280">
        <v>748</v>
      </c>
      <c r="I280">
        <v>2</v>
      </c>
      <c r="Q280" t="s">
        <v>40</v>
      </c>
      <c r="R280" t="s">
        <v>31</v>
      </c>
    </row>
    <row r="281" spans="4:18" x14ac:dyDescent="0.45">
      <c r="F281">
        <v>18</v>
      </c>
      <c r="H281">
        <v>748</v>
      </c>
      <c r="I281" s="1" t="s">
        <v>19</v>
      </c>
      <c r="M281" s="1"/>
      <c r="P281" t="s">
        <v>28</v>
      </c>
    </row>
    <row r="282" spans="4:18" x14ac:dyDescent="0.45">
      <c r="D282">
        <v>11</v>
      </c>
      <c r="E282">
        <v>80</v>
      </c>
      <c r="F282">
        <v>2</v>
      </c>
      <c r="H282">
        <v>748</v>
      </c>
      <c r="I282">
        <v>5</v>
      </c>
      <c r="M282" s="1" t="s">
        <v>19</v>
      </c>
      <c r="N282" t="s">
        <v>131</v>
      </c>
      <c r="O282" s="1" t="s">
        <v>19</v>
      </c>
      <c r="Q282" t="s">
        <v>130</v>
      </c>
      <c r="R282" t="s">
        <v>32</v>
      </c>
    </row>
    <row r="283" spans="4:18" x14ac:dyDescent="0.45">
      <c r="F283">
        <v>8</v>
      </c>
      <c r="H283">
        <v>748</v>
      </c>
      <c r="I283">
        <v>4</v>
      </c>
      <c r="M283" s="1" t="s">
        <v>19</v>
      </c>
      <c r="N283" t="s">
        <v>132</v>
      </c>
      <c r="O283" s="1" t="s">
        <v>19</v>
      </c>
      <c r="Q283" t="s">
        <v>61</v>
      </c>
      <c r="R283" t="s">
        <v>34</v>
      </c>
    </row>
    <row r="284" spans="4:18" x14ac:dyDescent="0.45">
      <c r="F284">
        <v>10</v>
      </c>
      <c r="H284">
        <v>748</v>
      </c>
      <c r="I284">
        <v>2</v>
      </c>
      <c r="M284" s="1" t="s">
        <v>19</v>
      </c>
      <c r="N284" t="s">
        <v>134</v>
      </c>
      <c r="O284" s="1" t="s">
        <v>19</v>
      </c>
      <c r="P284" t="s">
        <v>122</v>
      </c>
      <c r="Q284" t="s">
        <v>133</v>
      </c>
      <c r="R284" t="s">
        <v>31</v>
      </c>
    </row>
    <row r="285" spans="4:18" x14ac:dyDescent="0.45">
      <c r="F285">
        <v>13</v>
      </c>
      <c r="H285">
        <v>748</v>
      </c>
      <c r="I285" s="1" t="s">
        <v>19</v>
      </c>
      <c r="P285" t="s">
        <v>28</v>
      </c>
    </row>
    <row r="286" spans="4:18" x14ac:dyDescent="0.45">
      <c r="F286">
        <v>15</v>
      </c>
      <c r="H286">
        <v>748</v>
      </c>
      <c r="I286">
        <v>2</v>
      </c>
      <c r="L286">
        <v>438</v>
      </c>
      <c r="M286" t="s">
        <v>13</v>
      </c>
      <c r="N286">
        <f>438+748*1-363+1</f>
        <v>824</v>
      </c>
      <c r="O286">
        <f>N286*80</f>
        <v>65920</v>
      </c>
      <c r="Q286" t="s">
        <v>40</v>
      </c>
      <c r="R286" t="s">
        <v>31</v>
      </c>
    </row>
    <row r="287" spans="4:18" x14ac:dyDescent="0.45">
      <c r="F287">
        <v>15</v>
      </c>
      <c r="H287">
        <v>748</v>
      </c>
      <c r="I287">
        <v>3</v>
      </c>
      <c r="J287">
        <v>711</v>
      </c>
      <c r="K287" t="s">
        <v>13</v>
      </c>
      <c r="Q287" t="s">
        <v>44</v>
      </c>
      <c r="R287" t="s">
        <v>34</v>
      </c>
    </row>
    <row r="288" spans="4:18" x14ac:dyDescent="0.45">
      <c r="F288">
        <v>17</v>
      </c>
      <c r="H288">
        <v>748</v>
      </c>
      <c r="I288">
        <v>2</v>
      </c>
      <c r="M288" s="1" t="s">
        <v>19</v>
      </c>
      <c r="N288" t="s">
        <v>135</v>
      </c>
      <c r="O288" s="1" t="s">
        <v>19</v>
      </c>
      <c r="Q288" t="s">
        <v>40</v>
      </c>
      <c r="R288" t="s">
        <v>31</v>
      </c>
    </row>
    <row r="289" spans="2:19" x14ac:dyDescent="0.45">
      <c r="F289">
        <v>18</v>
      </c>
      <c r="H289">
        <v>748</v>
      </c>
      <c r="I289" s="1" t="s">
        <v>19</v>
      </c>
      <c r="P289" t="s">
        <v>28</v>
      </c>
    </row>
    <row r="290" spans="2:19" x14ac:dyDescent="0.45">
      <c r="B290" t="s">
        <v>136</v>
      </c>
      <c r="C290" t="s">
        <v>137</v>
      </c>
      <c r="D290">
        <v>0</v>
      </c>
      <c r="E290">
        <v>80</v>
      </c>
      <c r="F290">
        <v>1</v>
      </c>
      <c r="H290">
        <v>748</v>
      </c>
      <c r="I290">
        <v>1</v>
      </c>
      <c r="J290">
        <v>235</v>
      </c>
      <c r="K290" t="s">
        <v>14</v>
      </c>
      <c r="Q290" t="s">
        <v>40</v>
      </c>
      <c r="R290" t="s">
        <v>31</v>
      </c>
      <c r="S290">
        <v>2</v>
      </c>
    </row>
    <row r="291" spans="2:19" x14ac:dyDescent="0.45">
      <c r="F291">
        <v>1</v>
      </c>
      <c r="H291">
        <v>748</v>
      </c>
      <c r="I291">
        <v>1</v>
      </c>
      <c r="L291">
        <v>716</v>
      </c>
      <c r="M291" t="s">
        <v>13</v>
      </c>
      <c r="N291">
        <f>716-235+1</f>
        <v>482</v>
      </c>
      <c r="O291">
        <f>N291*80</f>
        <v>38560</v>
      </c>
      <c r="R291" t="s">
        <v>31</v>
      </c>
    </row>
    <row r="292" spans="2:19" x14ac:dyDescent="0.45">
      <c r="F292">
        <v>1</v>
      </c>
      <c r="H292">
        <v>748</v>
      </c>
      <c r="I292">
        <v>2</v>
      </c>
      <c r="J292">
        <v>735</v>
      </c>
      <c r="K292" t="s">
        <v>13</v>
      </c>
      <c r="Q292" t="s">
        <v>44</v>
      </c>
      <c r="R292" t="s">
        <v>31</v>
      </c>
    </row>
    <row r="293" spans="2:19" x14ac:dyDescent="0.45">
      <c r="F293">
        <v>2</v>
      </c>
      <c r="H293">
        <v>748</v>
      </c>
      <c r="I293">
        <v>1</v>
      </c>
      <c r="J293">
        <v>660</v>
      </c>
      <c r="K293" t="s">
        <v>13</v>
      </c>
      <c r="Q293" t="s">
        <v>72</v>
      </c>
      <c r="R293" t="s">
        <v>32</v>
      </c>
      <c r="S293">
        <v>1</v>
      </c>
    </row>
    <row r="294" spans="2:19" x14ac:dyDescent="0.45">
      <c r="F294">
        <v>3</v>
      </c>
      <c r="H294">
        <v>748</v>
      </c>
      <c r="I294">
        <v>1</v>
      </c>
      <c r="J294">
        <v>412</v>
      </c>
      <c r="K294" t="s">
        <v>14</v>
      </c>
      <c r="Q294" t="s">
        <v>40</v>
      </c>
      <c r="R294" t="s">
        <v>31</v>
      </c>
      <c r="S294">
        <v>1</v>
      </c>
    </row>
    <row r="295" spans="2:19" x14ac:dyDescent="0.45">
      <c r="F295">
        <v>4</v>
      </c>
      <c r="H295">
        <v>748</v>
      </c>
      <c r="I295">
        <v>1</v>
      </c>
      <c r="L295">
        <v>23</v>
      </c>
      <c r="M295" t="s">
        <v>13</v>
      </c>
      <c r="N295" t="s">
        <v>139</v>
      </c>
      <c r="O295" s="1" t="s">
        <v>19</v>
      </c>
      <c r="Q295" t="s">
        <v>138</v>
      </c>
      <c r="R295" t="s">
        <v>31</v>
      </c>
      <c r="S295">
        <v>3</v>
      </c>
    </row>
    <row r="296" spans="2:19" x14ac:dyDescent="0.45">
      <c r="F296">
        <v>4</v>
      </c>
      <c r="H296">
        <v>748</v>
      </c>
      <c r="I296">
        <v>2</v>
      </c>
      <c r="J296">
        <v>311</v>
      </c>
      <c r="K296" t="s">
        <v>14</v>
      </c>
      <c r="Q296" t="s">
        <v>141</v>
      </c>
      <c r="R296" t="s">
        <v>31</v>
      </c>
    </row>
    <row r="297" spans="2:19" x14ac:dyDescent="0.45">
      <c r="F297">
        <v>4</v>
      </c>
      <c r="H297">
        <v>748</v>
      </c>
      <c r="I297">
        <v>2</v>
      </c>
      <c r="L297">
        <v>398</v>
      </c>
      <c r="M297" t="s">
        <v>35</v>
      </c>
      <c r="N297">
        <f>398-311+1</f>
        <v>88</v>
      </c>
      <c r="O297">
        <f>N297*80</f>
        <v>7040</v>
      </c>
      <c r="Q297" t="s">
        <v>141</v>
      </c>
      <c r="R297" t="s">
        <v>31</v>
      </c>
    </row>
    <row r="298" spans="2:19" x14ac:dyDescent="0.45">
      <c r="F298">
        <v>5</v>
      </c>
      <c r="H298">
        <v>748</v>
      </c>
      <c r="I298">
        <v>1</v>
      </c>
      <c r="J298">
        <v>230</v>
      </c>
      <c r="K298" t="s">
        <v>13</v>
      </c>
      <c r="Q298" t="s">
        <v>72</v>
      </c>
      <c r="R298" t="s">
        <v>32</v>
      </c>
      <c r="S298">
        <v>1</v>
      </c>
    </row>
    <row r="299" spans="2:19" x14ac:dyDescent="0.45">
      <c r="F299">
        <v>5</v>
      </c>
      <c r="H299">
        <v>748</v>
      </c>
      <c r="I299">
        <v>2</v>
      </c>
      <c r="J299">
        <v>620</v>
      </c>
      <c r="K299" t="s">
        <v>14</v>
      </c>
      <c r="Q299" t="s">
        <v>61</v>
      </c>
      <c r="R299" t="s">
        <v>31</v>
      </c>
    </row>
    <row r="300" spans="2:19" x14ac:dyDescent="0.45">
      <c r="F300">
        <v>6</v>
      </c>
      <c r="H300">
        <v>748</v>
      </c>
      <c r="I300" t="s">
        <v>121</v>
      </c>
      <c r="L300">
        <v>185</v>
      </c>
      <c r="M300" t="s">
        <v>13</v>
      </c>
      <c r="N300" s="1" t="s">
        <v>143</v>
      </c>
      <c r="O300" s="1" t="s">
        <v>19</v>
      </c>
      <c r="P300" t="s">
        <v>142</v>
      </c>
      <c r="Q300" t="s">
        <v>117</v>
      </c>
      <c r="R300" t="s">
        <v>31</v>
      </c>
      <c r="S300">
        <v>1</v>
      </c>
    </row>
    <row r="301" spans="2:19" x14ac:dyDescent="0.45">
      <c r="F301">
        <v>6</v>
      </c>
      <c r="H301">
        <v>748</v>
      </c>
      <c r="I301" t="s">
        <v>120</v>
      </c>
      <c r="L301">
        <v>399</v>
      </c>
      <c r="M301" t="s">
        <v>13</v>
      </c>
      <c r="N301" t="s">
        <v>144</v>
      </c>
      <c r="O301" s="1" t="s">
        <v>19</v>
      </c>
      <c r="Q301" t="s">
        <v>44</v>
      </c>
      <c r="R301" t="s">
        <v>31</v>
      </c>
    </row>
    <row r="302" spans="2:19" x14ac:dyDescent="0.45">
      <c r="F302">
        <v>7</v>
      </c>
      <c r="H302">
        <v>748</v>
      </c>
      <c r="I302">
        <v>1</v>
      </c>
      <c r="L302">
        <v>181</v>
      </c>
      <c r="M302" t="s">
        <v>13</v>
      </c>
      <c r="N302" t="s">
        <v>145</v>
      </c>
      <c r="O302" s="1" t="s">
        <v>19</v>
      </c>
      <c r="Q302" t="s">
        <v>40</v>
      </c>
      <c r="R302" t="s">
        <v>32</v>
      </c>
      <c r="S302">
        <v>1</v>
      </c>
    </row>
    <row r="303" spans="2:19" x14ac:dyDescent="0.45">
      <c r="F303">
        <v>8</v>
      </c>
      <c r="H303">
        <v>748</v>
      </c>
      <c r="I303">
        <v>1</v>
      </c>
      <c r="J303">
        <v>364</v>
      </c>
      <c r="K303" t="s">
        <v>14</v>
      </c>
      <c r="Q303" t="s">
        <v>40</v>
      </c>
      <c r="R303" t="s">
        <v>34</v>
      </c>
      <c r="S303">
        <v>2</v>
      </c>
    </row>
    <row r="304" spans="2:19" x14ac:dyDescent="0.45">
      <c r="F304">
        <v>8</v>
      </c>
      <c r="H304">
        <v>748</v>
      </c>
      <c r="I304">
        <v>1</v>
      </c>
      <c r="L304">
        <v>592</v>
      </c>
      <c r="M304" t="s">
        <v>13</v>
      </c>
      <c r="N304" s="1" t="s">
        <v>148</v>
      </c>
      <c r="P304" t="s">
        <v>149</v>
      </c>
      <c r="R304" t="s">
        <v>34</v>
      </c>
    </row>
    <row r="305" spans="1:19" x14ac:dyDescent="0.45">
      <c r="A305" t="s">
        <v>147</v>
      </c>
      <c r="F305">
        <v>8</v>
      </c>
      <c r="H305">
        <v>748</v>
      </c>
      <c r="I305">
        <v>1</v>
      </c>
      <c r="J305">
        <v>592</v>
      </c>
      <c r="K305" t="s">
        <v>14</v>
      </c>
      <c r="P305" t="s">
        <v>146</v>
      </c>
      <c r="Q305" t="s">
        <v>141</v>
      </c>
      <c r="R305" t="s">
        <v>34</v>
      </c>
    </row>
    <row r="306" spans="1:19" x14ac:dyDescent="0.45">
      <c r="F306">
        <v>8</v>
      </c>
      <c r="H306">
        <v>748</v>
      </c>
      <c r="I306">
        <v>1</v>
      </c>
      <c r="L306">
        <v>621</v>
      </c>
      <c r="M306" t="s">
        <v>140</v>
      </c>
      <c r="N306">
        <f>621-364+1</f>
        <v>258</v>
      </c>
      <c r="O306">
        <f>N306*80</f>
        <v>20640</v>
      </c>
      <c r="Q306" t="s">
        <v>141</v>
      </c>
      <c r="R306" t="s">
        <v>34</v>
      </c>
    </row>
    <row r="307" spans="1:19" x14ac:dyDescent="0.45">
      <c r="F307">
        <v>9</v>
      </c>
      <c r="H307">
        <v>748</v>
      </c>
      <c r="I307">
        <v>1</v>
      </c>
      <c r="L307">
        <v>620</v>
      </c>
      <c r="M307" t="s">
        <v>13</v>
      </c>
      <c r="N307" t="s">
        <v>150</v>
      </c>
      <c r="O307" s="1" t="s">
        <v>19</v>
      </c>
      <c r="Q307" t="s">
        <v>61</v>
      </c>
      <c r="R307" t="s">
        <v>32</v>
      </c>
      <c r="S307">
        <v>1</v>
      </c>
    </row>
    <row r="308" spans="1:19" x14ac:dyDescent="0.45">
      <c r="D308">
        <v>1</v>
      </c>
      <c r="E308">
        <v>80</v>
      </c>
      <c r="F308">
        <v>1</v>
      </c>
      <c r="H308">
        <v>748</v>
      </c>
      <c r="I308">
        <v>2</v>
      </c>
      <c r="Q308" t="s">
        <v>44</v>
      </c>
      <c r="R308" t="s">
        <v>31</v>
      </c>
    </row>
    <row r="309" spans="1:19" x14ac:dyDescent="0.45">
      <c r="F309">
        <v>1</v>
      </c>
      <c r="H309">
        <v>748</v>
      </c>
      <c r="I309">
        <v>3</v>
      </c>
      <c r="J309">
        <v>620</v>
      </c>
      <c r="K309" t="s">
        <v>14</v>
      </c>
      <c r="Q309" t="s">
        <v>61</v>
      </c>
      <c r="R309" t="s">
        <v>31</v>
      </c>
    </row>
    <row r="310" spans="1:19" x14ac:dyDescent="0.45">
      <c r="F310">
        <v>2</v>
      </c>
      <c r="H310">
        <v>748</v>
      </c>
      <c r="I310">
        <v>1</v>
      </c>
      <c r="Q310" t="s">
        <v>72</v>
      </c>
    </row>
    <row r="311" spans="1:19" x14ac:dyDescent="0.45">
      <c r="F311">
        <v>2</v>
      </c>
      <c r="H311">
        <v>748</v>
      </c>
      <c r="I311">
        <v>2</v>
      </c>
      <c r="J311">
        <v>614</v>
      </c>
      <c r="K311" t="s">
        <v>13</v>
      </c>
      <c r="Q311" t="s">
        <v>72</v>
      </c>
      <c r="R311" t="s">
        <v>36</v>
      </c>
    </row>
    <row r="312" spans="1:19" x14ac:dyDescent="0.45">
      <c r="F312">
        <v>3</v>
      </c>
      <c r="H312">
        <v>748</v>
      </c>
      <c r="I312">
        <v>1</v>
      </c>
      <c r="Q312" t="s">
        <v>40</v>
      </c>
      <c r="R312" t="s">
        <v>36</v>
      </c>
    </row>
    <row r="313" spans="1:19" x14ac:dyDescent="0.45">
      <c r="F313">
        <v>3</v>
      </c>
      <c r="H313">
        <v>748</v>
      </c>
      <c r="I313">
        <v>2</v>
      </c>
      <c r="J313">
        <v>733</v>
      </c>
      <c r="K313" t="s">
        <v>14</v>
      </c>
      <c r="Q313" t="s">
        <v>81</v>
      </c>
      <c r="R313" t="s">
        <v>36</v>
      </c>
    </row>
    <row r="314" spans="1:19" x14ac:dyDescent="0.45">
      <c r="F314">
        <v>4</v>
      </c>
      <c r="H314">
        <v>748</v>
      </c>
      <c r="I314">
        <v>3</v>
      </c>
      <c r="J314">
        <v>31</v>
      </c>
      <c r="K314" t="s">
        <v>13</v>
      </c>
      <c r="Q314" t="s">
        <v>133</v>
      </c>
      <c r="R314" t="s">
        <v>31</v>
      </c>
    </row>
    <row r="315" spans="1:19" x14ac:dyDescent="0.45">
      <c r="F315">
        <v>4</v>
      </c>
      <c r="H315">
        <v>748</v>
      </c>
      <c r="I315">
        <v>3</v>
      </c>
      <c r="L315">
        <v>115</v>
      </c>
      <c r="M315" t="s">
        <v>35</v>
      </c>
      <c r="N315">
        <f>115-31+1</f>
        <v>85</v>
      </c>
      <c r="O315">
        <f>N315*80</f>
        <v>6800</v>
      </c>
      <c r="R315" t="s">
        <v>31</v>
      </c>
    </row>
    <row r="316" spans="1:19" x14ac:dyDescent="0.45">
      <c r="F316">
        <v>4</v>
      </c>
      <c r="H316">
        <v>748</v>
      </c>
      <c r="I316">
        <v>4</v>
      </c>
      <c r="J316">
        <v>559</v>
      </c>
      <c r="K316" t="s">
        <v>13</v>
      </c>
      <c r="Q316" t="s">
        <v>44</v>
      </c>
      <c r="R316" t="s">
        <v>31</v>
      </c>
    </row>
    <row r="317" spans="1:19" x14ac:dyDescent="0.45">
      <c r="F317">
        <v>5</v>
      </c>
      <c r="H317">
        <v>748</v>
      </c>
      <c r="I317" t="s">
        <v>121</v>
      </c>
      <c r="L317">
        <v>108</v>
      </c>
      <c r="M317" t="s">
        <v>13</v>
      </c>
      <c r="N317" s="1" t="s">
        <v>19</v>
      </c>
      <c r="Q317" t="s">
        <v>72</v>
      </c>
      <c r="R317" t="s">
        <v>32</v>
      </c>
    </row>
    <row r="318" spans="1:19" x14ac:dyDescent="0.45">
      <c r="F318">
        <v>5</v>
      </c>
      <c r="H318">
        <v>748</v>
      </c>
      <c r="I318" t="s">
        <v>120</v>
      </c>
      <c r="Q318" t="s">
        <v>72</v>
      </c>
      <c r="R318" t="s">
        <v>31</v>
      </c>
    </row>
    <row r="319" spans="1:19" x14ac:dyDescent="0.45">
      <c r="F319">
        <v>7</v>
      </c>
      <c r="H319">
        <v>748</v>
      </c>
      <c r="I319">
        <v>2</v>
      </c>
      <c r="J319">
        <v>106</v>
      </c>
      <c r="K319" t="s">
        <v>13</v>
      </c>
      <c r="Q319" t="s">
        <v>44</v>
      </c>
      <c r="R319" t="s">
        <v>32</v>
      </c>
    </row>
    <row r="320" spans="1:19" x14ac:dyDescent="0.45">
      <c r="F320">
        <v>7</v>
      </c>
      <c r="H320">
        <v>748</v>
      </c>
      <c r="I320">
        <v>2</v>
      </c>
      <c r="L320">
        <v>378</v>
      </c>
      <c r="M320" t="s">
        <v>13</v>
      </c>
      <c r="N320">
        <f>378-106+1</f>
        <v>273</v>
      </c>
      <c r="O320">
        <f>N320*80</f>
        <v>21840</v>
      </c>
      <c r="R320" t="s">
        <v>30</v>
      </c>
    </row>
    <row r="321" spans="4:18" x14ac:dyDescent="0.45">
      <c r="F321">
        <v>8</v>
      </c>
      <c r="H321">
        <v>748</v>
      </c>
      <c r="I321">
        <v>2</v>
      </c>
      <c r="J321">
        <v>229</v>
      </c>
      <c r="K321" t="s">
        <v>13</v>
      </c>
      <c r="Q321" t="s">
        <v>151</v>
      </c>
      <c r="R321" t="s">
        <v>31</v>
      </c>
    </row>
    <row r="322" spans="4:18" x14ac:dyDescent="0.45">
      <c r="F322">
        <v>8</v>
      </c>
      <c r="H322">
        <v>748</v>
      </c>
      <c r="I322">
        <v>2</v>
      </c>
      <c r="L322">
        <v>287</v>
      </c>
      <c r="M322" t="s">
        <v>13</v>
      </c>
      <c r="N322">
        <f>287-229+1</f>
        <v>59</v>
      </c>
      <c r="O322">
        <f>N322*80</f>
        <v>4720</v>
      </c>
      <c r="R322" t="s">
        <v>31</v>
      </c>
    </row>
    <row r="323" spans="4:18" x14ac:dyDescent="0.45">
      <c r="D323">
        <v>2</v>
      </c>
      <c r="E323">
        <v>80</v>
      </c>
      <c r="F323">
        <v>1</v>
      </c>
      <c r="H323">
        <v>748</v>
      </c>
      <c r="I323">
        <v>2</v>
      </c>
      <c r="L323">
        <v>60</v>
      </c>
      <c r="M323" t="s">
        <v>26</v>
      </c>
      <c r="N323">
        <f>60+748*2-735+1</f>
        <v>822</v>
      </c>
      <c r="O323">
        <f>N323*80</f>
        <v>65760</v>
      </c>
      <c r="Q323" t="s">
        <v>44</v>
      </c>
      <c r="R323" t="s">
        <v>31</v>
      </c>
    </row>
    <row r="324" spans="4:18" x14ac:dyDescent="0.45">
      <c r="F324">
        <v>1</v>
      </c>
      <c r="H324">
        <v>748</v>
      </c>
      <c r="I324">
        <v>3</v>
      </c>
      <c r="L324">
        <v>353</v>
      </c>
      <c r="M324" t="s">
        <v>13</v>
      </c>
      <c r="N324">
        <f>353+748-620+1</f>
        <v>482</v>
      </c>
      <c r="O324">
        <f>N324*80</f>
        <v>38560</v>
      </c>
      <c r="Q324" t="s">
        <v>61</v>
      </c>
      <c r="R324" t="s">
        <v>31</v>
      </c>
    </row>
    <row r="325" spans="4:18" x14ac:dyDescent="0.45">
      <c r="F325">
        <v>1</v>
      </c>
      <c r="H325">
        <v>748</v>
      </c>
      <c r="I325">
        <v>4</v>
      </c>
      <c r="J325">
        <v>123</v>
      </c>
      <c r="K325" t="s">
        <v>14</v>
      </c>
      <c r="Q325" t="s">
        <v>40</v>
      </c>
      <c r="R325" t="s">
        <v>31</v>
      </c>
    </row>
    <row r="326" spans="4:18" x14ac:dyDescent="0.45">
      <c r="F326">
        <v>1</v>
      </c>
      <c r="H326">
        <v>748</v>
      </c>
      <c r="I326">
        <v>5</v>
      </c>
      <c r="J326">
        <v>275</v>
      </c>
      <c r="K326" t="s">
        <v>14</v>
      </c>
      <c r="Q326" t="s">
        <v>40</v>
      </c>
      <c r="R326" t="s">
        <v>31</v>
      </c>
    </row>
    <row r="327" spans="4:18" x14ac:dyDescent="0.45">
      <c r="F327">
        <v>1</v>
      </c>
      <c r="H327">
        <v>748</v>
      </c>
      <c r="I327">
        <v>5</v>
      </c>
      <c r="L327">
        <v>318</v>
      </c>
      <c r="M327" t="s">
        <v>13</v>
      </c>
      <c r="N327">
        <f>318-275+1</f>
        <v>44</v>
      </c>
      <c r="O327">
        <f>N327*80</f>
        <v>3520</v>
      </c>
      <c r="R327" t="s">
        <v>31</v>
      </c>
    </row>
    <row r="328" spans="4:18" x14ac:dyDescent="0.45">
      <c r="F328">
        <v>2</v>
      </c>
      <c r="H328">
        <v>748</v>
      </c>
      <c r="I328" t="s">
        <v>121</v>
      </c>
      <c r="L328">
        <v>191</v>
      </c>
      <c r="M328" t="s">
        <v>13</v>
      </c>
      <c r="N328" s="1" t="s">
        <v>19</v>
      </c>
      <c r="Q328" t="s">
        <v>72</v>
      </c>
      <c r="R328" t="s">
        <v>36</v>
      </c>
    </row>
    <row r="329" spans="4:18" x14ac:dyDescent="0.45">
      <c r="F329">
        <v>2</v>
      </c>
      <c r="H329">
        <v>748</v>
      </c>
      <c r="I329" t="s">
        <v>120</v>
      </c>
      <c r="P329" t="s">
        <v>153</v>
      </c>
      <c r="Q329" t="s">
        <v>152</v>
      </c>
      <c r="R329" t="s">
        <v>36</v>
      </c>
    </row>
    <row r="330" spans="4:18" x14ac:dyDescent="0.45">
      <c r="F330">
        <v>3</v>
      </c>
      <c r="H330">
        <v>748</v>
      </c>
      <c r="I330" t="s">
        <v>121</v>
      </c>
      <c r="L330">
        <v>46</v>
      </c>
      <c r="M330" t="s">
        <v>13</v>
      </c>
      <c r="N330" s="1" t="s">
        <v>19</v>
      </c>
      <c r="Q330" t="s">
        <v>40</v>
      </c>
      <c r="R330" t="s">
        <v>36</v>
      </c>
    </row>
    <row r="331" spans="4:18" x14ac:dyDescent="0.45">
      <c r="F331">
        <v>3</v>
      </c>
      <c r="H331">
        <v>748</v>
      </c>
      <c r="I331">
        <v>3</v>
      </c>
      <c r="J331">
        <v>63</v>
      </c>
      <c r="K331" t="s">
        <v>14</v>
      </c>
      <c r="Q331" t="s">
        <v>40</v>
      </c>
      <c r="R331" t="s">
        <v>36</v>
      </c>
    </row>
    <row r="332" spans="4:18" x14ac:dyDescent="0.45">
      <c r="F332">
        <v>3</v>
      </c>
      <c r="H332">
        <v>748</v>
      </c>
      <c r="I332" t="s">
        <v>120</v>
      </c>
      <c r="L332">
        <v>346</v>
      </c>
      <c r="M332" t="s">
        <v>13</v>
      </c>
      <c r="N332" s="1" t="s">
        <v>19</v>
      </c>
      <c r="Q332" t="s">
        <v>40</v>
      </c>
      <c r="R332" t="s">
        <v>36</v>
      </c>
    </row>
    <row r="333" spans="4:18" x14ac:dyDescent="0.45">
      <c r="F333">
        <v>3</v>
      </c>
      <c r="H333">
        <v>748</v>
      </c>
      <c r="I333">
        <v>4</v>
      </c>
      <c r="J333">
        <v>426</v>
      </c>
      <c r="K333" t="s">
        <v>14</v>
      </c>
      <c r="P333" t="s">
        <v>155</v>
      </c>
      <c r="Q333" t="s">
        <v>45</v>
      </c>
      <c r="R333" t="s">
        <v>36</v>
      </c>
    </row>
    <row r="334" spans="4:18" x14ac:dyDescent="0.45">
      <c r="F334">
        <v>3</v>
      </c>
      <c r="H334">
        <v>748</v>
      </c>
      <c r="I334">
        <v>4</v>
      </c>
      <c r="L334">
        <v>531</v>
      </c>
      <c r="M334" t="s">
        <v>26</v>
      </c>
      <c r="N334">
        <f>531-426+1</f>
        <v>106</v>
      </c>
      <c r="O334">
        <f>N334*80</f>
        <v>8480</v>
      </c>
      <c r="R334" t="s">
        <v>36</v>
      </c>
    </row>
    <row r="335" spans="4:18" x14ac:dyDescent="0.45">
      <c r="F335">
        <v>3</v>
      </c>
      <c r="H335">
        <v>748</v>
      </c>
      <c r="I335" t="s">
        <v>154</v>
      </c>
      <c r="Q335" t="s">
        <v>40</v>
      </c>
      <c r="R335" t="s">
        <v>36</v>
      </c>
    </row>
    <row r="336" spans="4:18" x14ac:dyDescent="0.45">
      <c r="F336">
        <v>4</v>
      </c>
      <c r="H336">
        <v>748</v>
      </c>
      <c r="I336">
        <v>4</v>
      </c>
      <c r="L336">
        <v>48</v>
      </c>
      <c r="M336" t="s">
        <v>13</v>
      </c>
      <c r="N336">
        <f>48+748-559+1</f>
        <v>238</v>
      </c>
      <c r="O336">
        <f>N336*80</f>
        <v>19040</v>
      </c>
      <c r="Q336" t="s">
        <v>44</v>
      </c>
      <c r="R336" t="s">
        <v>31</v>
      </c>
    </row>
    <row r="337" spans="1:18" x14ac:dyDescent="0.45">
      <c r="F337">
        <v>5</v>
      </c>
      <c r="H337">
        <v>748</v>
      </c>
      <c r="I337" t="s">
        <v>120</v>
      </c>
      <c r="L337">
        <v>444</v>
      </c>
      <c r="M337" t="s">
        <v>13</v>
      </c>
      <c r="N337" s="1" t="s">
        <v>19</v>
      </c>
      <c r="Q337" t="s">
        <v>72</v>
      </c>
      <c r="R337" t="s">
        <v>31</v>
      </c>
    </row>
    <row r="338" spans="1:18" x14ac:dyDescent="0.45">
      <c r="A338" t="s">
        <v>156</v>
      </c>
      <c r="F338">
        <v>8</v>
      </c>
      <c r="H338">
        <v>748</v>
      </c>
      <c r="I338">
        <v>3</v>
      </c>
      <c r="J338">
        <v>652</v>
      </c>
      <c r="K338" t="s">
        <v>13</v>
      </c>
      <c r="P338" t="s">
        <v>157</v>
      </c>
      <c r="Q338" t="s">
        <v>72</v>
      </c>
      <c r="R338" t="s">
        <v>31</v>
      </c>
    </row>
    <row r="339" spans="1:18" x14ac:dyDescent="0.45">
      <c r="F339">
        <v>9</v>
      </c>
      <c r="H339">
        <v>748</v>
      </c>
      <c r="I339">
        <v>2</v>
      </c>
      <c r="J339">
        <v>-999</v>
      </c>
      <c r="K339" t="s">
        <v>111</v>
      </c>
      <c r="Q339" t="s">
        <v>61</v>
      </c>
      <c r="R339" t="s">
        <v>31</v>
      </c>
    </row>
    <row r="340" spans="1:18" x14ac:dyDescent="0.45">
      <c r="F340">
        <v>9</v>
      </c>
      <c r="H340">
        <v>748</v>
      </c>
      <c r="I340">
        <v>2</v>
      </c>
      <c r="L340">
        <v>580</v>
      </c>
      <c r="M340" t="s">
        <v>35</v>
      </c>
      <c r="N340">
        <v>580</v>
      </c>
      <c r="O340">
        <f>N340*80</f>
        <v>46400</v>
      </c>
      <c r="R340" t="s">
        <v>31</v>
      </c>
    </row>
    <row r="341" spans="1:18" x14ac:dyDescent="0.45">
      <c r="D341">
        <v>3</v>
      </c>
      <c r="E341">
        <v>80</v>
      </c>
      <c r="F341">
        <v>1</v>
      </c>
      <c r="H341">
        <v>748</v>
      </c>
      <c r="I341">
        <v>4</v>
      </c>
      <c r="L341">
        <v>261</v>
      </c>
      <c r="M341" t="s">
        <v>13</v>
      </c>
      <c r="N341">
        <f>261+748-123+1</f>
        <v>887</v>
      </c>
      <c r="O341">
        <f>N341*80</f>
        <v>70960</v>
      </c>
      <c r="Q341" t="s">
        <v>40</v>
      </c>
      <c r="R341" t="s">
        <v>31</v>
      </c>
    </row>
    <row r="342" spans="1:18" x14ac:dyDescent="0.45">
      <c r="F342">
        <v>1</v>
      </c>
      <c r="H342">
        <v>748</v>
      </c>
      <c r="I342">
        <v>6</v>
      </c>
      <c r="J342">
        <v>263</v>
      </c>
      <c r="K342" t="s">
        <v>14</v>
      </c>
      <c r="Q342" t="s">
        <v>158</v>
      </c>
      <c r="R342" t="s">
        <v>31</v>
      </c>
    </row>
    <row r="343" spans="1:18" x14ac:dyDescent="0.45">
      <c r="F343">
        <v>2</v>
      </c>
      <c r="H343">
        <v>748</v>
      </c>
      <c r="I343" t="s">
        <v>120</v>
      </c>
      <c r="L343">
        <v>415</v>
      </c>
      <c r="M343" t="s">
        <v>35</v>
      </c>
      <c r="N343" s="1" t="s">
        <v>19</v>
      </c>
      <c r="Q343" t="s">
        <v>61</v>
      </c>
      <c r="R343" t="s">
        <v>36</v>
      </c>
    </row>
    <row r="344" spans="1:18" x14ac:dyDescent="0.45">
      <c r="F344">
        <v>3</v>
      </c>
      <c r="H344">
        <v>748</v>
      </c>
      <c r="I344" t="s">
        <v>154</v>
      </c>
      <c r="L344">
        <v>79</v>
      </c>
      <c r="M344" t="s">
        <v>26</v>
      </c>
      <c r="N344" s="1" t="s">
        <v>19</v>
      </c>
      <c r="Q344" t="s">
        <v>40</v>
      </c>
      <c r="R344" t="s">
        <v>36</v>
      </c>
    </row>
    <row r="345" spans="1:18" x14ac:dyDescent="0.45">
      <c r="F345">
        <v>7</v>
      </c>
      <c r="H345">
        <v>748</v>
      </c>
      <c r="I345">
        <v>3</v>
      </c>
      <c r="J345">
        <v>48</v>
      </c>
      <c r="K345" t="s">
        <v>13</v>
      </c>
      <c r="Q345" t="s">
        <v>159</v>
      </c>
      <c r="R345" t="s">
        <v>32</v>
      </c>
    </row>
    <row r="346" spans="1:18" x14ac:dyDescent="0.45">
      <c r="F346">
        <v>8</v>
      </c>
      <c r="H346">
        <v>748</v>
      </c>
      <c r="I346">
        <v>3</v>
      </c>
      <c r="L346">
        <v>150</v>
      </c>
      <c r="M346" t="s">
        <v>13</v>
      </c>
      <c r="N346">
        <f>150+748*1-652+1</f>
        <v>247</v>
      </c>
      <c r="O346">
        <f>N346*80</f>
        <v>19760</v>
      </c>
      <c r="Q346" t="s">
        <v>72</v>
      </c>
      <c r="R346" t="s">
        <v>31</v>
      </c>
    </row>
    <row r="347" spans="1:18" x14ac:dyDescent="0.45">
      <c r="D347">
        <v>4</v>
      </c>
      <c r="E347">
        <v>80</v>
      </c>
      <c r="F347">
        <v>1</v>
      </c>
      <c r="H347">
        <v>748</v>
      </c>
      <c r="I347">
        <v>6</v>
      </c>
      <c r="Q347" t="s">
        <v>158</v>
      </c>
      <c r="R347" t="s">
        <v>31</v>
      </c>
    </row>
    <row r="348" spans="1:18" x14ac:dyDescent="0.45">
      <c r="F348">
        <v>4</v>
      </c>
      <c r="H348">
        <v>748</v>
      </c>
      <c r="I348">
        <v>5</v>
      </c>
      <c r="J348">
        <v>633</v>
      </c>
      <c r="K348" t="s">
        <v>13</v>
      </c>
      <c r="Q348" t="s">
        <v>75</v>
      </c>
      <c r="R348" t="s">
        <v>34</v>
      </c>
    </row>
    <row r="349" spans="1:18" x14ac:dyDescent="0.45">
      <c r="F349">
        <v>4</v>
      </c>
      <c r="H349">
        <v>748</v>
      </c>
      <c r="I349">
        <v>5</v>
      </c>
      <c r="L349">
        <v>646</v>
      </c>
      <c r="M349" t="s">
        <v>13</v>
      </c>
      <c r="N349">
        <f>646-633+1</f>
        <v>14</v>
      </c>
      <c r="O349">
        <f>N349*80</f>
        <v>1120</v>
      </c>
      <c r="Q349" t="s">
        <v>75</v>
      </c>
      <c r="R349" t="s">
        <v>34</v>
      </c>
    </row>
    <row r="350" spans="1:18" x14ac:dyDescent="0.45">
      <c r="A350" t="s">
        <v>161</v>
      </c>
      <c r="F350">
        <v>7</v>
      </c>
      <c r="H350">
        <v>748</v>
      </c>
      <c r="I350">
        <v>3</v>
      </c>
      <c r="L350">
        <v>133</v>
      </c>
      <c r="M350" t="s">
        <v>13</v>
      </c>
      <c r="N350">
        <f>133+748-48+1</f>
        <v>834</v>
      </c>
      <c r="O350">
        <f>N350*80</f>
        <v>66720</v>
      </c>
      <c r="Q350" t="s">
        <v>160</v>
      </c>
      <c r="R350" t="s">
        <v>31</v>
      </c>
    </row>
    <row r="351" spans="1:18" x14ac:dyDescent="0.45">
      <c r="F351">
        <v>8</v>
      </c>
      <c r="H351">
        <v>748</v>
      </c>
      <c r="I351">
        <v>4</v>
      </c>
      <c r="J351">
        <v>251</v>
      </c>
      <c r="K351" t="s">
        <v>13</v>
      </c>
      <c r="Q351" t="s">
        <v>75</v>
      </c>
      <c r="R351" t="s">
        <v>31</v>
      </c>
    </row>
    <row r="352" spans="1:18" x14ac:dyDescent="0.45">
      <c r="F352">
        <v>8</v>
      </c>
      <c r="H352">
        <v>748</v>
      </c>
      <c r="I352">
        <v>4</v>
      </c>
      <c r="L352">
        <v>258</v>
      </c>
      <c r="M352" t="s">
        <v>13</v>
      </c>
      <c r="N352">
        <f>258-251+1</f>
        <v>8</v>
      </c>
      <c r="O352">
        <f>N352*80</f>
        <v>640</v>
      </c>
      <c r="Q352" t="s">
        <v>75</v>
      </c>
      <c r="R352" t="s">
        <v>31</v>
      </c>
    </row>
    <row r="353" spans="4:18" x14ac:dyDescent="0.45">
      <c r="F353">
        <v>9</v>
      </c>
      <c r="H353">
        <v>748</v>
      </c>
      <c r="I353">
        <v>3</v>
      </c>
      <c r="J353">
        <v>298</v>
      </c>
      <c r="K353" t="s">
        <v>13</v>
      </c>
      <c r="Q353" t="s">
        <v>44</v>
      </c>
      <c r="R353" t="s">
        <v>32</v>
      </c>
    </row>
    <row r="354" spans="4:18" x14ac:dyDescent="0.45">
      <c r="F354">
        <v>10</v>
      </c>
      <c r="H354">
        <v>748</v>
      </c>
      <c r="I354" s="1" t="s">
        <v>19</v>
      </c>
      <c r="P354" t="s">
        <v>28</v>
      </c>
    </row>
    <row r="355" spans="4:18" x14ac:dyDescent="0.45">
      <c r="F355">
        <v>11</v>
      </c>
      <c r="H355">
        <v>748</v>
      </c>
      <c r="I355" s="1" t="s">
        <v>19</v>
      </c>
      <c r="P355" t="s">
        <v>28</v>
      </c>
    </row>
    <row r="356" spans="4:18" x14ac:dyDescent="0.45">
      <c r="D356">
        <v>5</v>
      </c>
      <c r="E356">
        <v>80</v>
      </c>
      <c r="F356">
        <v>1</v>
      </c>
      <c r="H356">
        <v>748</v>
      </c>
      <c r="I356">
        <v>6</v>
      </c>
      <c r="Q356" t="s">
        <v>158</v>
      </c>
      <c r="R356" t="s">
        <v>31</v>
      </c>
    </row>
    <row r="357" spans="4:18" x14ac:dyDescent="0.45">
      <c r="F357">
        <v>1</v>
      </c>
      <c r="H357">
        <v>748</v>
      </c>
      <c r="I357">
        <v>7</v>
      </c>
      <c r="J357">
        <v>538</v>
      </c>
      <c r="K357" t="s">
        <v>13</v>
      </c>
      <c r="Q357" t="s">
        <v>44</v>
      </c>
      <c r="R357" t="s">
        <v>31</v>
      </c>
    </row>
    <row r="358" spans="4:18" x14ac:dyDescent="0.45">
      <c r="F358">
        <v>6</v>
      </c>
      <c r="H358">
        <v>748</v>
      </c>
      <c r="I358">
        <v>3</v>
      </c>
      <c r="J358">
        <v>179</v>
      </c>
      <c r="K358" t="s">
        <v>13</v>
      </c>
      <c r="Q358" t="s">
        <v>44</v>
      </c>
      <c r="R358" t="s">
        <v>34</v>
      </c>
    </row>
    <row r="359" spans="4:18" x14ac:dyDescent="0.45">
      <c r="F359">
        <v>9</v>
      </c>
      <c r="H359">
        <v>748</v>
      </c>
      <c r="I359">
        <v>3</v>
      </c>
      <c r="Q359" t="s">
        <v>44</v>
      </c>
      <c r="R359" t="s">
        <v>32</v>
      </c>
    </row>
    <row r="360" spans="4:18" x14ac:dyDescent="0.45">
      <c r="F360">
        <v>10</v>
      </c>
      <c r="H360">
        <v>748</v>
      </c>
      <c r="I360" s="1" t="s">
        <v>19</v>
      </c>
      <c r="P360" t="s">
        <v>28</v>
      </c>
    </row>
    <row r="361" spans="4:18" x14ac:dyDescent="0.45">
      <c r="F361">
        <v>11</v>
      </c>
      <c r="H361">
        <v>748</v>
      </c>
      <c r="I361" s="1" t="s">
        <v>19</v>
      </c>
      <c r="P361" t="s">
        <v>28</v>
      </c>
    </row>
    <row r="362" spans="4:18" x14ac:dyDescent="0.45">
      <c r="D362">
        <v>6</v>
      </c>
      <c r="E362">
        <v>80</v>
      </c>
      <c r="F362">
        <v>1</v>
      </c>
      <c r="H362">
        <v>748</v>
      </c>
      <c r="I362">
        <v>8</v>
      </c>
      <c r="J362">
        <v>18</v>
      </c>
      <c r="K362" t="s">
        <v>14</v>
      </c>
      <c r="P362" t="s">
        <v>163</v>
      </c>
      <c r="Q362" t="s">
        <v>44</v>
      </c>
      <c r="R362" t="s">
        <v>31</v>
      </c>
    </row>
    <row r="363" spans="4:18" x14ac:dyDescent="0.45">
      <c r="F363">
        <v>1</v>
      </c>
      <c r="H363">
        <v>748</v>
      </c>
      <c r="I363" t="s">
        <v>15</v>
      </c>
      <c r="P363" t="s">
        <v>163</v>
      </c>
      <c r="Q363" t="s">
        <v>44</v>
      </c>
      <c r="R363" t="s">
        <v>31</v>
      </c>
    </row>
    <row r="364" spans="4:18" x14ac:dyDescent="0.45">
      <c r="F364">
        <v>6</v>
      </c>
      <c r="H364">
        <v>748</v>
      </c>
      <c r="I364">
        <v>3</v>
      </c>
      <c r="L364">
        <v>489</v>
      </c>
      <c r="M364" t="s">
        <v>26</v>
      </c>
      <c r="N364">
        <f>489+748-179+1</f>
        <v>1059</v>
      </c>
      <c r="O364">
        <f>N364*80</f>
        <v>84720</v>
      </c>
      <c r="Q364" t="s">
        <v>44</v>
      </c>
      <c r="R364" t="s">
        <v>31</v>
      </c>
    </row>
    <row r="365" spans="4:18" x14ac:dyDescent="0.45">
      <c r="F365">
        <v>8</v>
      </c>
      <c r="H365">
        <v>748</v>
      </c>
      <c r="I365">
        <v>5</v>
      </c>
      <c r="J365">
        <v>614</v>
      </c>
      <c r="K365" t="s">
        <v>13</v>
      </c>
      <c r="Q365" t="s">
        <v>164</v>
      </c>
      <c r="R365" t="s">
        <v>31</v>
      </c>
    </row>
    <row r="366" spans="4:18" x14ac:dyDescent="0.45">
      <c r="F366">
        <v>9</v>
      </c>
      <c r="H366">
        <v>748</v>
      </c>
      <c r="I366">
        <v>3</v>
      </c>
      <c r="Q366" t="s">
        <v>44</v>
      </c>
      <c r="R366" t="s">
        <v>32</v>
      </c>
    </row>
    <row r="367" spans="4:18" x14ac:dyDescent="0.45">
      <c r="F367">
        <v>10</v>
      </c>
      <c r="H367">
        <v>748</v>
      </c>
      <c r="I367" s="1" t="s">
        <v>19</v>
      </c>
      <c r="P367" t="s">
        <v>28</v>
      </c>
    </row>
    <row r="368" spans="4:18" x14ac:dyDescent="0.45">
      <c r="F368">
        <v>11</v>
      </c>
      <c r="H368">
        <v>748</v>
      </c>
      <c r="I368" s="1" t="s">
        <v>19</v>
      </c>
      <c r="P368" t="s">
        <v>28</v>
      </c>
    </row>
    <row r="369" spans="1:18" x14ac:dyDescent="0.45">
      <c r="F369">
        <v>12</v>
      </c>
      <c r="H369">
        <v>748</v>
      </c>
      <c r="I369" s="1" t="s">
        <v>19</v>
      </c>
      <c r="P369" t="s">
        <v>28</v>
      </c>
    </row>
    <row r="370" spans="1:18" x14ac:dyDescent="0.45">
      <c r="D370">
        <v>7</v>
      </c>
      <c r="E370">
        <v>80</v>
      </c>
      <c r="F370">
        <v>1</v>
      </c>
      <c r="H370">
        <v>748</v>
      </c>
      <c r="I370" t="s">
        <v>162</v>
      </c>
      <c r="L370">
        <v>54</v>
      </c>
      <c r="M370" t="s">
        <v>13</v>
      </c>
      <c r="N370" s="1" t="s">
        <v>19</v>
      </c>
      <c r="P370" t="s">
        <v>165</v>
      </c>
      <c r="Q370" t="s">
        <v>44</v>
      </c>
      <c r="R370" t="s">
        <v>31</v>
      </c>
    </row>
    <row r="371" spans="1:18" x14ac:dyDescent="0.45">
      <c r="F371">
        <v>1</v>
      </c>
      <c r="H371">
        <v>748</v>
      </c>
      <c r="I371" t="s">
        <v>166</v>
      </c>
      <c r="L371">
        <v>302</v>
      </c>
      <c r="M371" t="s">
        <v>13</v>
      </c>
      <c r="N371" s="1" t="s">
        <v>19</v>
      </c>
      <c r="Q371" t="s">
        <v>44</v>
      </c>
      <c r="R371" t="s">
        <v>31</v>
      </c>
    </row>
    <row r="372" spans="1:18" x14ac:dyDescent="0.45">
      <c r="F372">
        <v>1</v>
      </c>
      <c r="H372">
        <v>748</v>
      </c>
      <c r="I372" t="s">
        <v>167</v>
      </c>
      <c r="L372">
        <v>316</v>
      </c>
      <c r="M372" t="s">
        <v>13</v>
      </c>
      <c r="N372" t="s">
        <v>148</v>
      </c>
      <c r="Q372" t="s">
        <v>44</v>
      </c>
      <c r="R372" t="s">
        <v>31</v>
      </c>
    </row>
    <row r="373" spans="1:18" x14ac:dyDescent="0.45">
      <c r="A373" t="s">
        <v>168</v>
      </c>
      <c r="F373">
        <v>1</v>
      </c>
      <c r="H373">
        <v>748</v>
      </c>
      <c r="I373">
        <v>9</v>
      </c>
      <c r="J373">
        <v>328</v>
      </c>
      <c r="K373" t="s">
        <v>14</v>
      </c>
      <c r="P373" t="s">
        <v>169</v>
      </c>
      <c r="Q373" t="s">
        <v>44</v>
      </c>
      <c r="R373" t="s">
        <v>31</v>
      </c>
    </row>
    <row r="374" spans="1:18" x14ac:dyDescent="0.45">
      <c r="F374">
        <v>1</v>
      </c>
      <c r="H374">
        <v>748</v>
      </c>
      <c r="I374">
        <v>10</v>
      </c>
      <c r="J374">
        <v>397</v>
      </c>
      <c r="K374" t="s">
        <v>14</v>
      </c>
      <c r="P374" t="s">
        <v>115</v>
      </c>
      <c r="Q374" t="s">
        <v>40</v>
      </c>
      <c r="R374" t="s">
        <v>31</v>
      </c>
    </row>
    <row r="375" spans="1:18" x14ac:dyDescent="0.45">
      <c r="A375" t="s">
        <v>170</v>
      </c>
      <c r="F375">
        <v>4</v>
      </c>
      <c r="H375">
        <v>748</v>
      </c>
      <c r="I375">
        <v>6</v>
      </c>
      <c r="J375">
        <v>156</v>
      </c>
      <c r="K375" t="s">
        <v>13</v>
      </c>
      <c r="Q375" t="s">
        <v>72</v>
      </c>
      <c r="R375" t="s">
        <v>31</v>
      </c>
    </row>
    <row r="376" spans="1:18" x14ac:dyDescent="0.45">
      <c r="F376">
        <v>4</v>
      </c>
      <c r="H376">
        <v>748</v>
      </c>
      <c r="I376">
        <v>6</v>
      </c>
      <c r="L376">
        <v>195</v>
      </c>
      <c r="M376" t="s">
        <v>35</v>
      </c>
      <c r="N376" t="s">
        <v>148</v>
      </c>
      <c r="Q376" t="s">
        <v>72</v>
      </c>
      <c r="R376" t="s">
        <v>31</v>
      </c>
    </row>
    <row r="377" spans="1:18" x14ac:dyDescent="0.45">
      <c r="F377">
        <v>4</v>
      </c>
      <c r="H377">
        <v>748</v>
      </c>
      <c r="I377">
        <v>6</v>
      </c>
      <c r="J377">
        <v>197</v>
      </c>
      <c r="K377" t="s">
        <v>13</v>
      </c>
      <c r="Q377" t="s">
        <v>72</v>
      </c>
      <c r="R377" t="s">
        <v>31</v>
      </c>
    </row>
    <row r="378" spans="1:18" x14ac:dyDescent="0.45">
      <c r="F378">
        <v>4</v>
      </c>
      <c r="H378">
        <v>748</v>
      </c>
      <c r="I378">
        <v>6</v>
      </c>
      <c r="L378">
        <v>225</v>
      </c>
      <c r="M378" t="s">
        <v>13</v>
      </c>
      <c r="N378" t="s">
        <v>148</v>
      </c>
      <c r="Q378" t="s">
        <v>72</v>
      </c>
      <c r="R378" t="s">
        <v>31</v>
      </c>
    </row>
    <row r="379" spans="1:18" x14ac:dyDescent="0.45">
      <c r="F379">
        <v>4</v>
      </c>
      <c r="H379">
        <v>748</v>
      </c>
      <c r="I379">
        <v>6</v>
      </c>
      <c r="J379">
        <v>235</v>
      </c>
      <c r="K379" t="s">
        <v>14</v>
      </c>
      <c r="Q379" t="s">
        <v>72</v>
      </c>
      <c r="R379" t="s">
        <v>31</v>
      </c>
    </row>
    <row r="380" spans="1:18" x14ac:dyDescent="0.45">
      <c r="F380">
        <v>4</v>
      </c>
      <c r="H380">
        <v>748</v>
      </c>
      <c r="I380">
        <v>6</v>
      </c>
      <c r="L380">
        <v>285</v>
      </c>
      <c r="M380" t="s">
        <v>35</v>
      </c>
      <c r="N380">
        <f>285-156+1</f>
        <v>130</v>
      </c>
      <c r="O380">
        <f>N380*80</f>
        <v>10400</v>
      </c>
      <c r="Q380" t="s">
        <v>72</v>
      </c>
      <c r="R380" t="s">
        <v>31</v>
      </c>
    </row>
    <row r="381" spans="1:18" x14ac:dyDescent="0.45">
      <c r="F381">
        <v>8</v>
      </c>
      <c r="H381">
        <v>748</v>
      </c>
      <c r="I381">
        <v>5</v>
      </c>
      <c r="L381">
        <v>354</v>
      </c>
      <c r="M381" t="s">
        <v>13</v>
      </c>
      <c r="N381">
        <f>354+748*1-614+1</f>
        <v>489</v>
      </c>
      <c r="O381">
        <f>N381*80</f>
        <v>39120</v>
      </c>
      <c r="Q381" t="s">
        <v>44</v>
      </c>
      <c r="R381" t="s">
        <v>31</v>
      </c>
    </row>
    <row r="382" spans="1:18" x14ac:dyDescent="0.45">
      <c r="F382">
        <v>9</v>
      </c>
      <c r="H382">
        <v>748</v>
      </c>
      <c r="I382">
        <v>3</v>
      </c>
      <c r="Q382" t="s">
        <v>44</v>
      </c>
      <c r="R382" t="s">
        <v>32</v>
      </c>
    </row>
    <row r="383" spans="1:18" x14ac:dyDescent="0.45">
      <c r="F383">
        <v>10</v>
      </c>
      <c r="H383">
        <v>748</v>
      </c>
      <c r="I383" s="1" t="s">
        <v>19</v>
      </c>
      <c r="P383" t="s">
        <v>28</v>
      </c>
    </row>
    <row r="384" spans="1:18" x14ac:dyDescent="0.45">
      <c r="F384">
        <v>11</v>
      </c>
      <c r="H384">
        <v>748</v>
      </c>
      <c r="I384" s="1" t="s">
        <v>19</v>
      </c>
      <c r="P384" t="s">
        <v>28</v>
      </c>
    </row>
    <row r="385" spans="4:18" x14ac:dyDescent="0.45">
      <c r="D385">
        <v>8</v>
      </c>
      <c r="E385">
        <v>80</v>
      </c>
      <c r="F385">
        <v>1</v>
      </c>
      <c r="H385">
        <v>748</v>
      </c>
      <c r="I385" t="s">
        <v>171</v>
      </c>
      <c r="L385">
        <v>27</v>
      </c>
      <c r="M385" t="s">
        <v>13</v>
      </c>
      <c r="N385" s="1" t="s">
        <v>19</v>
      </c>
      <c r="Q385" t="s">
        <v>40</v>
      </c>
      <c r="R385" t="s">
        <v>31</v>
      </c>
    </row>
    <row r="386" spans="4:18" x14ac:dyDescent="0.45">
      <c r="F386">
        <v>1</v>
      </c>
      <c r="H386">
        <v>748</v>
      </c>
      <c r="I386" t="s">
        <v>172</v>
      </c>
      <c r="Q386" t="s">
        <v>40</v>
      </c>
      <c r="R386" t="s">
        <v>31</v>
      </c>
    </row>
    <row r="387" spans="4:18" x14ac:dyDescent="0.45">
      <c r="F387">
        <v>4</v>
      </c>
      <c r="H387">
        <v>748</v>
      </c>
      <c r="I387" s="1" t="s">
        <v>19</v>
      </c>
    </row>
    <row r="388" spans="4:18" x14ac:dyDescent="0.45">
      <c r="F388">
        <v>6</v>
      </c>
      <c r="H388">
        <v>748</v>
      </c>
      <c r="I388">
        <v>4</v>
      </c>
      <c r="J388">
        <v>597</v>
      </c>
      <c r="K388" t="s">
        <v>13</v>
      </c>
      <c r="P388" t="s">
        <v>173</v>
      </c>
      <c r="Q388" t="s">
        <v>164</v>
      </c>
      <c r="R388" t="s">
        <v>32</v>
      </c>
    </row>
    <row r="389" spans="4:18" x14ac:dyDescent="0.45">
      <c r="F389">
        <v>8</v>
      </c>
      <c r="H389">
        <v>748</v>
      </c>
      <c r="I389">
        <v>6</v>
      </c>
      <c r="J389">
        <v>259</v>
      </c>
      <c r="K389" t="s">
        <v>13</v>
      </c>
      <c r="Q389" t="s">
        <v>164</v>
      </c>
      <c r="R389" t="s">
        <v>32</v>
      </c>
    </row>
    <row r="390" spans="4:18" x14ac:dyDescent="0.45">
      <c r="F390">
        <v>9</v>
      </c>
      <c r="H390">
        <v>748</v>
      </c>
      <c r="I390">
        <v>3</v>
      </c>
      <c r="L390">
        <v>205</v>
      </c>
      <c r="M390" t="s">
        <v>13</v>
      </c>
      <c r="N390">
        <f>205+748*4-298+1</f>
        <v>2900</v>
      </c>
      <c r="O390">
        <f>N390*80</f>
        <v>232000</v>
      </c>
      <c r="P390" t="s">
        <v>189</v>
      </c>
      <c r="Q390" t="s">
        <v>44</v>
      </c>
      <c r="R390" t="s">
        <v>32</v>
      </c>
    </row>
    <row r="391" spans="4:18" x14ac:dyDescent="0.45">
      <c r="F391">
        <v>10</v>
      </c>
      <c r="H391">
        <v>748</v>
      </c>
      <c r="I391" s="1" t="s">
        <v>19</v>
      </c>
      <c r="P391" t="s">
        <v>28</v>
      </c>
    </row>
    <row r="392" spans="4:18" x14ac:dyDescent="0.45">
      <c r="F392">
        <v>11</v>
      </c>
      <c r="H392">
        <v>748</v>
      </c>
      <c r="I392" s="1" t="s">
        <v>19</v>
      </c>
      <c r="P392" t="s">
        <v>28</v>
      </c>
    </row>
    <row r="393" spans="4:18" x14ac:dyDescent="0.45">
      <c r="D393">
        <v>9</v>
      </c>
      <c r="E393">
        <v>80</v>
      </c>
      <c r="F393">
        <v>1</v>
      </c>
      <c r="H393">
        <v>748</v>
      </c>
      <c r="I393" t="s">
        <v>172</v>
      </c>
      <c r="Q393" t="s">
        <v>40</v>
      </c>
      <c r="R393" t="s">
        <v>31</v>
      </c>
    </row>
    <row r="394" spans="4:18" x14ac:dyDescent="0.45">
      <c r="F394">
        <v>6</v>
      </c>
      <c r="H394">
        <v>748</v>
      </c>
      <c r="I394">
        <v>4</v>
      </c>
      <c r="L394">
        <v>543</v>
      </c>
      <c r="M394" t="s">
        <v>13</v>
      </c>
      <c r="N394">
        <f>543+748-597+1</f>
        <v>695</v>
      </c>
      <c r="O394">
        <f>N394*80</f>
        <v>55600</v>
      </c>
      <c r="P394" t="s">
        <v>173</v>
      </c>
      <c r="Q394" t="s">
        <v>44</v>
      </c>
      <c r="R394" t="s">
        <v>32</v>
      </c>
    </row>
    <row r="395" spans="4:18" x14ac:dyDescent="0.45">
      <c r="F395">
        <v>8</v>
      </c>
      <c r="H395">
        <v>748</v>
      </c>
      <c r="I395">
        <v>6</v>
      </c>
      <c r="L395">
        <v>167</v>
      </c>
      <c r="M395" t="s">
        <v>13</v>
      </c>
      <c r="N395">
        <f>167+748*1-259+1</f>
        <v>657</v>
      </c>
      <c r="O395">
        <f>N395*80</f>
        <v>52560</v>
      </c>
      <c r="Q395" t="s">
        <v>44</v>
      </c>
      <c r="R395" t="s">
        <v>30</v>
      </c>
    </row>
    <row r="396" spans="4:18" x14ac:dyDescent="0.45">
      <c r="F396">
        <v>11</v>
      </c>
      <c r="H396">
        <v>748</v>
      </c>
      <c r="I396" s="1" t="s">
        <v>19</v>
      </c>
      <c r="P396" t="s">
        <v>28</v>
      </c>
    </row>
    <row r="397" spans="4:18" x14ac:dyDescent="0.45">
      <c r="D397">
        <v>10</v>
      </c>
      <c r="E397">
        <v>80</v>
      </c>
      <c r="F397">
        <v>1</v>
      </c>
      <c r="H397">
        <v>748</v>
      </c>
      <c r="I397" t="s">
        <v>172</v>
      </c>
      <c r="Q397" t="s">
        <v>40</v>
      </c>
      <c r="R397" t="s">
        <v>31</v>
      </c>
    </row>
    <row r="398" spans="4:18" x14ac:dyDescent="0.45">
      <c r="F398">
        <v>7</v>
      </c>
      <c r="H398">
        <v>748</v>
      </c>
      <c r="I398">
        <v>4</v>
      </c>
      <c r="J398">
        <v>718</v>
      </c>
      <c r="K398" t="s">
        <v>13</v>
      </c>
      <c r="P398" t="s">
        <v>122</v>
      </c>
      <c r="Q398" t="s">
        <v>124</v>
      </c>
      <c r="R398" t="s">
        <v>31</v>
      </c>
    </row>
    <row r="399" spans="4:18" x14ac:dyDescent="0.45">
      <c r="F399">
        <v>9</v>
      </c>
      <c r="H399">
        <v>748</v>
      </c>
      <c r="I399">
        <v>4</v>
      </c>
      <c r="J399">
        <v>711</v>
      </c>
      <c r="K399" t="s">
        <v>13</v>
      </c>
      <c r="Q399" t="s">
        <v>44</v>
      </c>
      <c r="R399" t="s">
        <v>32</v>
      </c>
    </row>
    <row r="400" spans="4:18" x14ac:dyDescent="0.45">
      <c r="F400">
        <v>11</v>
      </c>
      <c r="H400">
        <v>748</v>
      </c>
      <c r="I400" s="1" t="s">
        <v>19</v>
      </c>
      <c r="P400" t="s">
        <v>28</v>
      </c>
    </row>
    <row r="401" spans="1:19" x14ac:dyDescent="0.45">
      <c r="F401">
        <v>13</v>
      </c>
      <c r="H401">
        <v>748</v>
      </c>
      <c r="I401">
        <v>1</v>
      </c>
      <c r="J401">
        <v>127</v>
      </c>
      <c r="K401" t="s">
        <v>13</v>
      </c>
      <c r="Q401" t="s">
        <v>72</v>
      </c>
      <c r="R401" t="s">
        <v>32</v>
      </c>
      <c r="S401">
        <v>2</v>
      </c>
    </row>
    <row r="402" spans="1:19" x14ac:dyDescent="0.45">
      <c r="F402">
        <v>13</v>
      </c>
      <c r="H402">
        <v>748</v>
      </c>
      <c r="I402">
        <v>1</v>
      </c>
      <c r="L402">
        <v>241</v>
      </c>
      <c r="M402" t="s">
        <v>13</v>
      </c>
      <c r="N402">
        <f>241-127+1</f>
        <v>115</v>
      </c>
      <c r="O402">
        <f>N402*80</f>
        <v>9200</v>
      </c>
      <c r="R402" t="s">
        <v>34</v>
      </c>
    </row>
    <row r="403" spans="1:19" x14ac:dyDescent="0.45">
      <c r="D403">
        <v>11</v>
      </c>
      <c r="E403">
        <v>80</v>
      </c>
      <c r="F403">
        <v>1</v>
      </c>
      <c r="H403">
        <v>748</v>
      </c>
      <c r="I403" t="s">
        <v>172</v>
      </c>
      <c r="M403" s="1" t="s">
        <v>19</v>
      </c>
      <c r="N403" t="s">
        <v>174</v>
      </c>
      <c r="O403" s="1" t="s">
        <v>19</v>
      </c>
      <c r="Q403" t="s">
        <v>40</v>
      </c>
      <c r="R403" t="s">
        <v>31</v>
      </c>
    </row>
    <row r="404" spans="1:19" x14ac:dyDescent="0.45">
      <c r="F404">
        <v>7</v>
      </c>
      <c r="H404">
        <v>748</v>
      </c>
      <c r="I404">
        <v>4</v>
      </c>
      <c r="M404" s="1" t="s">
        <v>19</v>
      </c>
      <c r="N404" t="s">
        <v>176</v>
      </c>
      <c r="O404" s="1" t="s">
        <v>19</v>
      </c>
      <c r="P404" t="s">
        <v>122</v>
      </c>
      <c r="Q404" t="s">
        <v>175</v>
      </c>
      <c r="R404" t="s">
        <v>31</v>
      </c>
    </row>
    <row r="405" spans="1:19" x14ac:dyDescent="0.45">
      <c r="F405">
        <v>9</v>
      </c>
      <c r="H405">
        <v>748</v>
      </c>
      <c r="I405">
        <v>4</v>
      </c>
      <c r="L405">
        <v>471</v>
      </c>
      <c r="M405" t="s">
        <v>13</v>
      </c>
      <c r="N405">
        <f>471+748-711+1</f>
        <v>509</v>
      </c>
      <c r="O405">
        <f>N405*80</f>
        <v>40720</v>
      </c>
      <c r="Q405" t="s">
        <v>44</v>
      </c>
      <c r="R405" t="s">
        <v>32</v>
      </c>
    </row>
    <row r="406" spans="1:19" x14ac:dyDescent="0.45">
      <c r="F406">
        <v>11</v>
      </c>
      <c r="H406">
        <v>748</v>
      </c>
      <c r="I406" s="1" t="s">
        <v>19</v>
      </c>
      <c r="P406" t="s">
        <v>28</v>
      </c>
    </row>
    <row r="407" spans="1:19" x14ac:dyDescent="0.45">
      <c r="F407">
        <v>13</v>
      </c>
      <c r="H407">
        <v>748</v>
      </c>
      <c r="I407" s="1" t="s">
        <v>19</v>
      </c>
    </row>
    <row r="408" spans="1:19" x14ac:dyDescent="0.45">
      <c r="B408" t="s">
        <v>177</v>
      </c>
      <c r="C408" t="s">
        <v>178</v>
      </c>
      <c r="D408">
        <v>0</v>
      </c>
      <c r="E408">
        <v>80</v>
      </c>
      <c r="F408">
        <v>1</v>
      </c>
      <c r="H408">
        <v>748</v>
      </c>
      <c r="I408">
        <v>1</v>
      </c>
      <c r="Q408" t="s">
        <v>44</v>
      </c>
      <c r="R408" t="s">
        <v>31</v>
      </c>
      <c r="S408">
        <v>1</v>
      </c>
    </row>
    <row r="409" spans="1:19" x14ac:dyDescent="0.45">
      <c r="F409">
        <v>2</v>
      </c>
      <c r="H409">
        <v>748</v>
      </c>
      <c r="I409" s="1" t="s">
        <v>19</v>
      </c>
      <c r="P409" t="s">
        <v>28</v>
      </c>
    </row>
    <row r="410" spans="1:19" x14ac:dyDescent="0.45">
      <c r="F410">
        <v>3</v>
      </c>
      <c r="H410">
        <v>748</v>
      </c>
      <c r="I410">
        <v>1</v>
      </c>
      <c r="L410">
        <v>483</v>
      </c>
      <c r="M410" t="s">
        <v>26</v>
      </c>
      <c r="N410" t="s">
        <v>179</v>
      </c>
      <c r="O410" s="1" t="s">
        <v>19</v>
      </c>
      <c r="Q410" t="s">
        <v>61</v>
      </c>
      <c r="R410" t="s">
        <v>30</v>
      </c>
      <c r="S410">
        <v>2</v>
      </c>
    </row>
    <row r="411" spans="1:19" x14ac:dyDescent="0.45">
      <c r="A411" t="s">
        <v>181</v>
      </c>
      <c r="F411">
        <v>4</v>
      </c>
      <c r="H411">
        <v>748</v>
      </c>
      <c r="I411">
        <v>1</v>
      </c>
      <c r="P411" t="s">
        <v>182</v>
      </c>
      <c r="Q411" t="s">
        <v>180</v>
      </c>
      <c r="R411" t="s">
        <v>31</v>
      </c>
      <c r="S411">
        <v>1</v>
      </c>
    </row>
    <row r="412" spans="1:19" x14ac:dyDescent="0.45">
      <c r="F412">
        <v>5</v>
      </c>
      <c r="H412">
        <v>748</v>
      </c>
      <c r="I412">
        <v>1</v>
      </c>
      <c r="J412">
        <v>737</v>
      </c>
      <c r="K412" t="s">
        <v>14</v>
      </c>
      <c r="Q412" t="s">
        <v>141</v>
      </c>
      <c r="R412" t="s">
        <v>34</v>
      </c>
      <c r="S412">
        <v>1</v>
      </c>
    </row>
    <row r="413" spans="1:19" x14ac:dyDescent="0.45">
      <c r="D413">
        <v>1</v>
      </c>
      <c r="E413">
        <v>80</v>
      </c>
      <c r="F413">
        <v>1</v>
      </c>
      <c r="H413">
        <v>748</v>
      </c>
      <c r="I413">
        <v>1</v>
      </c>
      <c r="P413" t="s">
        <v>123</v>
      </c>
      <c r="Q413" t="s">
        <v>44</v>
      </c>
      <c r="R413" t="s">
        <v>31</v>
      </c>
    </row>
    <row r="414" spans="1:19" x14ac:dyDescent="0.45">
      <c r="F414">
        <v>3</v>
      </c>
      <c r="H414">
        <v>748</v>
      </c>
      <c r="I414">
        <v>2</v>
      </c>
      <c r="J414">
        <v>-999</v>
      </c>
      <c r="K414" t="s">
        <v>111</v>
      </c>
      <c r="L414">
        <v>325</v>
      </c>
      <c r="M414" t="s">
        <v>13</v>
      </c>
      <c r="N414">
        <v>325</v>
      </c>
      <c r="O414">
        <f>N414*80</f>
        <v>26000</v>
      </c>
      <c r="Q414" t="s">
        <v>72</v>
      </c>
      <c r="R414" t="s">
        <v>30</v>
      </c>
    </row>
    <row r="415" spans="1:19" x14ac:dyDescent="0.45">
      <c r="F415">
        <v>4</v>
      </c>
      <c r="H415">
        <v>748</v>
      </c>
      <c r="I415">
        <v>1</v>
      </c>
      <c r="L415">
        <v>208</v>
      </c>
      <c r="M415" t="s">
        <v>13</v>
      </c>
      <c r="N415" t="s">
        <v>183</v>
      </c>
      <c r="O415" s="1" t="s">
        <v>19</v>
      </c>
      <c r="Q415" t="s">
        <v>72</v>
      </c>
      <c r="R415" t="s">
        <v>31</v>
      </c>
    </row>
    <row r="416" spans="1:19" x14ac:dyDescent="0.45">
      <c r="F416">
        <v>5</v>
      </c>
      <c r="H416">
        <v>748</v>
      </c>
      <c r="I416">
        <v>1</v>
      </c>
      <c r="L416">
        <v>80</v>
      </c>
      <c r="M416" t="s">
        <v>35</v>
      </c>
      <c r="N416">
        <f>80+941-737+1</f>
        <v>285</v>
      </c>
      <c r="O416">
        <f>N416*80</f>
        <v>22800</v>
      </c>
      <c r="Q416" t="s">
        <v>72</v>
      </c>
      <c r="R416" t="s">
        <v>34</v>
      </c>
    </row>
    <row r="417" spans="4:19" x14ac:dyDescent="0.45">
      <c r="F417">
        <v>6</v>
      </c>
      <c r="H417">
        <v>748</v>
      </c>
      <c r="I417" s="1" t="s">
        <v>19</v>
      </c>
      <c r="P417" t="s">
        <v>28</v>
      </c>
    </row>
    <row r="418" spans="4:19" x14ac:dyDescent="0.45">
      <c r="F418">
        <v>7</v>
      </c>
      <c r="H418">
        <v>748</v>
      </c>
      <c r="I418">
        <v>1</v>
      </c>
      <c r="J418">
        <v>46</v>
      </c>
      <c r="K418" t="s">
        <v>13</v>
      </c>
      <c r="Q418" t="s">
        <v>44</v>
      </c>
      <c r="R418" t="s">
        <v>32</v>
      </c>
      <c r="S418">
        <v>1</v>
      </c>
    </row>
    <row r="419" spans="4:19" x14ac:dyDescent="0.45">
      <c r="D419">
        <v>2</v>
      </c>
      <c r="E419">
        <v>80</v>
      </c>
      <c r="F419">
        <v>1</v>
      </c>
      <c r="H419">
        <v>748</v>
      </c>
      <c r="I419">
        <v>1</v>
      </c>
      <c r="L419">
        <v>156</v>
      </c>
      <c r="M419" t="s">
        <v>26</v>
      </c>
      <c r="N419" t="s">
        <v>184</v>
      </c>
      <c r="O419" s="1" t="s">
        <v>19</v>
      </c>
      <c r="P419" t="s">
        <v>123</v>
      </c>
      <c r="Q419" t="s">
        <v>44</v>
      </c>
      <c r="R419" t="s">
        <v>30</v>
      </c>
    </row>
    <row r="420" spans="4:19" x14ac:dyDescent="0.45">
      <c r="F420">
        <v>6</v>
      </c>
      <c r="H420">
        <v>748</v>
      </c>
      <c r="I420" s="1" t="s">
        <v>19</v>
      </c>
      <c r="P420" t="s">
        <v>28</v>
      </c>
    </row>
    <row r="421" spans="4:19" x14ac:dyDescent="0.45">
      <c r="F421">
        <v>7</v>
      </c>
      <c r="H421">
        <v>748</v>
      </c>
      <c r="I421">
        <v>1</v>
      </c>
      <c r="Q421" t="s">
        <v>44</v>
      </c>
      <c r="R421" t="s">
        <v>32</v>
      </c>
    </row>
    <row r="422" spans="4:19" x14ac:dyDescent="0.45">
      <c r="F422">
        <v>9</v>
      </c>
      <c r="H422">
        <v>748</v>
      </c>
      <c r="I422">
        <v>1</v>
      </c>
      <c r="P422" t="s">
        <v>123</v>
      </c>
      <c r="Q422" t="s">
        <v>72</v>
      </c>
      <c r="R422" t="s">
        <v>31</v>
      </c>
      <c r="S422">
        <v>1</v>
      </c>
    </row>
    <row r="423" spans="4:19" x14ac:dyDescent="0.45">
      <c r="D423">
        <v>3</v>
      </c>
      <c r="E423">
        <v>80</v>
      </c>
      <c r="F423">
        <v>1</v>
      </c>
      <c r="H423">
        <v>748</v>
      </c>
      <c r="I423">
        <v>2</v>
      </c>
      <c r="J423">
        <v>291</v>
      </c>
      <c r="K423" t="s">
        <v>14</v>
      </c>
      <c r="Q423" t="s">
        <v>61</v>
      </c>
      <c r="R423" t="s">
        <v>31</v>
      </c>
    </row>
    <row r="424" spans="4:19" x14ac:dyDescent="0.45">
      <c r="F424">
        <v>1</v>
      </c>
      <c r="H424">
        <v>748</v>
      </c>
      <c r="I424">
        <v>2</v>
      </c>
      <c r="L424">
        <v>403</v>
      </c>
      <c r="M424" t="s">
        <v>35</v>
      </c>
      <c r="N424">
        <f>403-291+1</f>
        <v>113</v>
      </c>
      <c r="O424">
        <f>N424*80</f>
        <v>9040</v>
      </c>
      <c r="R424" t="s">
        <v>31</v>
      </c>
    </row>
    <row r="425" spans="4:19" x14ac:dyDescent="0.45">
      <c r="F425">
        <v>1</v>
      </c>
      <c r="H425">
        <v>748</v>
      </c>
      <c r="I425">
        <v>3</v>
      </c>
      <c r="J425">
        <v>607</v>
      </c>
      <c r="K425" t="s">
        <v>14</v>
      </c>
      <c r="Q425" t="s">
        <v>40</v>
      </c>
      <c r="R425" t="s">
        <v>31</v>
      </c>
    </row>
    <row r="426" spans="4:19" x14ac:dyDescent="0.45">
      <c r="F426">
        <v>3</v>
      </c>
      <c r="H426">
        <v>748</v>
      </c>
      <c r="I426">
        <v>3</v>
      </c>
      <c r="J426">
        <v>50</v>
      </c>
      <c r="K426" t="s">
        <v>13</v>
      </c>
      <c r="Q426" t="s">
        <v>44</v>
      </c>
      <c r="R426" t="s">
        <v>31</v>
      </c>
    </row>
    <row r="427" spans="4:19" x14ac:dyDescent="0.45">
      <c r="F427">
        <v>3</v>
      </c>
      <c r="H427">
        <v>748</v>
      </c>
      <c r="I427">
        <v>3</v>
      </c>
      <c r="L427">
        <v>133</v>
      </c>
      <c r="M427" t="s">
        <v>13</v>
      </c>
      <c r="N427" t="s">
        <v>148</v>
      </c>
      <c r="R427" t="s">
        <v>31</v>
      </c>
    </row>
    <row r="428" spans="4:19" x14ac:dyDescent="0.45">
      <c r="F428">
        <v>3</v>
      </c>
      <c r="H428">
        <v>748</v>
      </c>
      <c r="I428">
        <v>3</v>
      </c>
      <c r="L428">
        <v>227</v>
      </c>
      <c r="M428" t="s">
        <v>13</v>
      </c>
      <c r="N428">
        <f>227-50+1</f>
        <v>178</v>
      </c>
      <c r="O428">
        <f>N428*80</f>
        <v>14240</v>
      </c>
      <c r="R428" t="s">
        <v>31</v>
      </c>
    </row>
    <row r="429" spans="4:19" x14ac:dyDescent="0.45">
      <c r="F429">
        <v>7</v>
      </c>
      <c r="H429">
        <v>748</v>
      </c>
      <c r="I429">
        <v>1</v>
      </c>
      <c r="Q429" t="s">
        <v>117</v>
      </c>
      <c r="R429" t="s">
        <v>30</v>
      </c>
    </row>
    <row r="430" spans="4:19" x14ac:dyDescent="0.45">
      <c r="F430">
        <v>10</v>
      </c>
      <c r="H430">
        <v>748</v>
      </c>
      <c r="I430">
        <v>1</v>
      </c>
      <c r="J430">
        <v>144</v>
      </c>
      <c r="K430" t="s">
        <v>14</v>
      </c>
      <c r="Q430" t="s">
        <v>40</v>
      </c>
      <c r="R430" t="s">
        <v>31</v>
      </c>
      <c r="S430">
        <v>1</v>
      </c>
    </row>
    <row r="431" spans="4:19" x14ac:dyDescent="0.45">
      <c r="F431">
        <v>10</v>
      </c>
      <c r="H431">
        <v>748</v>
      </c>
      <c r="I431">
        <v>2</v>
      </c>
      <c r="J431">
        <v>632</v>
      </c>
      <c r="K431" t="s">
        <v>13</v>
      </c>
      <c r="Q431" t="s">
        <v>44</v>
      </c>
      <c r="R431" t="s">
        <v>31</v>
      </c>
    </row>
    <row r="432" spans="4:19" x14ac:dyDescent="0.45">
      <c r="F432">
        <v>10</v>
      </c>
      <c r="H432">
        <v>748</v>
      </c>
      <c r="I432">
        <v>1</v>
      </c>
      <c r="L432">
        <v>641</v>
      </c>
      <c r="M432" t="s">
        <v>13</v>
      </c>
      <c r="N432">
        <f>641-144+1</f>
        <v>498</v>
      </c>
      <c r="O432">
        <f>N432*80</f>
        <v>39840</v>
      </c>
      <c r="R432" t="s">
        <v>31</v>
      </c>
    </row>
    <row r="433" spans="1:19" x14ac:dyDescent="0.45">
      <c r="D433">
        <v>4</v>
      </c>
      <c r="E433">
        <v>80</v>
      </c>
      <c r="F433">
        <v>1</v>
      </c>
      <c r="H433">
        <v>748</v>
      </c>
      <c r="I433">
        <v>3</v>
      </c>
      <c r="L433">
        <v>596</v>
      </c>
      <c r="M433" t="s">
        <v>26</v>
      </c>
      <c r="N433">
        <f>596+748-607+1</f>
        <v>738</v>
      </c>
      <c r="O433">
        <f>N433*80</f>
        <v>59040</v>
      </c>
      <c r="P433" t="s">
        <v>123</v>
      </c>
      <c r="Q433" t="s">
        <v>40</v>
      </c>
      <c r="R433" t="s">
        <v>31</v>
      </c>
    </row>
    <row r="434" spans="1:19" x14ac:dyDescent="0.45">
      <c r="F434">
        <v>7</v>
      </c>
      <c r="H434">
        <v>748</v>
      </c>
      <c r="I434">
        <v>1</v>
      </c>
      <c r="Q434" t="s">
        <v>117</v>
      </c>
      <c r="R434" t="s">
        <v>30</v>
      </c>
    </row>
    <row r="435" spans="1:19" x14ac:dyDescent="0.45">
      <c r="F435">
        <v>10</v>
      </c>
      <c r="H435">
        <v>748</v>
      </c>
      <c r="I435">
        <v>2</v>
      </c>
      <c r="Q435" t="s">
        <v>44</v>
      </c>
      <c r="R435" t="s">
        <v>32</v>
      </c>
    </row>
    <row r="436" spans="1:19" x14ac:dyDescent="0.45">
      <c r="D436">
        <v>5</v>
      </c>
      <c r="E436">
        <v>80</v>
      </c>
      <c r="F436">
        <v>7</v>
      </c>
      <c r="H436">
        <v>748</v>
      </c>
      <c r="I436">
        <v>1</v>
      </c>
      <c r="Q436" t="s">
        <v>117</v>
      </c>
      <c r="R436" t="s">
        <v>32</v>
      </c>
    </row>
    <row r="437" spans="1:19" x14ac:dyDescent="0.45">
      <c r="F437">
        <v>9</v>
      </c>
      <c r="H437">
        <v>748</v>
      </c>
      <c r="I437">
        <v>1</v>
      </c>
      <c r="L437">
        <v>732</v>
      </c>
      <c r="M437" t="s">
        <v>35</v>
      </c>
      <c r="N437" t="s">
        <v>185</v>
      </c>
      <c r="O437" s="1" t="s">
        <v>19</v>
      </c>
      <c r="P437" t="s">
        <v>123</v>
      </c>
      <c r="Q437" t="s">
        <v>61</v>
      </c>
      <c r="R437" t="s">
        <v>34</v>
      </c>
    </row>
    <row r="438" spans="1:19" x14ac:dyDescent="0.45">
      <c r="F438">
        <v>10</v>
      </c>
      <c r="H438">
        <v>748</v>
      </c>
      <c r="I438">
        <v>2</v>
      </c>
      <c r="Q438" t="s">
        <v>44</v>
      </c>
      <c r="R438" t="s">
        <v>32</v>
      </c>
    </row>
    <row r="439" spans="1:19" x14ac:dyDescent="0.45">
      <c r="A439" t="s">
        <v>186</v>
      </c>
      <c r="F439">
        <v>11</v>
      </c>
      <c r="H439">
        <v>748</v>
      </c>
      <c r="I439">
        <v>1</v>
      </c>
      <c r="J439">
        <v>117</v>
      </c>
      <c r="K439" t="s">
        <v>14</v>
      </c>
      <c r="P439" t="s">
        <v>122</v>
      </c>
      <c r="Q439" t="s">
        <v>40</v>
      </c>
      <c r="R439" t="s">
        <v>31</v>
      </c>
      <c r="S439">
        <v>2</v>
      </c>
    </row>
    <row r="440" spans="1:19" x14ac:dyDescent="0.45">
      <c r="F440">
        <v>11</v>
      </c>
      <c r="H440">
        <v>748</v>
      </c>
      <c r="I440">
        <v>1</v>
      </c>
      <c r="L440">
        <v>378</v>
      </c>
      <c r="M440" t="s">
        <v>26</v>
      </c>
      <c r="N440" t="s">
        <v>148</v>
      </c>
      <c r="P440" t="s">
        <v>122</v>
      </c>
      <c r="R440" t="s">
        <v>31</v>
      </c>
    </row>
    <row r="441" spans="1:19" x14ac:dyDescent="0.45">
      <c r="D441">
        <v>6</v>
      </c>
      <c r="E441">
        <v>80</v>
      </c>
      <c r="F441">
        <v>1</v>
      </c>
      <c r="H441">
        <v>748</v>
      </c>
      <c r="I441">
        <v>4</v>
      </c>
      <c r="J441">
        <v>669</v>
      </c>
      <c r="K441" t="s">
        <v>13</v>
      </c>
      <c r="Q441" t="s">
        <v>44</v>
      </c>
      <c r="R441" t="s">
        <v>31</v>
      </c>
    </row>
    <row r="442" spans="1:19" x14ac:dyDescent="0.45">
      <c r="F442">
        <v>3</v>
      </c>
      <c r="H442">
        <v>748</v>
      </c>
      <c r="I442">
        <v>4</v>
      </c>
      <c r="J442">
        <v>452</v>
      </c>
      <c r="K442" t="s">
        <v>14</v>
      </c>
      <c r="Q442" t="s">
        <v>61</v>
      </c>
      <c r="R442" t="s">
        <v>31</v>
      </c>
    </row>
    <row r="443" spans="1:19" x14ac:dyDescent="0.45">
      <c r="F443">
        <v>3</v>
      </c>
      <c r="H443">
        <v>748</v>
      </c>
      <c r="I443">
        <v>4</v>
      </c>
      <c r="L443">
        <v>595</v>
      </c>
      <c r="M443" t="s">
        <v>13</v>
      </c>
      <c r="N443">
        <f>595-452+1</f>
        <v>144</v>
      </c>
      <c r="O443">
        <f>N443*80</f>
        <v>11520</v>
      </c>
      <c r="R443" t="s">
        <v>31</v>
      </c>
    </row>
    <row r="444" spans="1:19" x14ac:dyDescent="0.45">
      <c r="F444">
        <v>7</v>
      </c>
      <c r="H444">
        <v>748</v>
      </c>
      <c r="I444">
        <v>1</v>
      </c>
      <c r="L444">
        <v>27</v>
      </c>
      <c r="M444" t="s">
        <v>13</v>
      </c>
      <c r="N444">
        <f>27+748*5-46+1</f>
        <v>3722</v>
      </c>
      <c r="O444">
        <f>N444*80</f>
        <v>297760</v>
      </c>
      <c r="Q444" t="s">
        <v>117</v>
      </c>
      <c r="R444" t="s">
        <v>32</v>
      </c>
    </row>
    <row r="445" spans="1:19" x14ac:dyDescent="0.45">
      <c r="F445">
        <v>9</v>
      </c>
      <c r="H445">
        <v>748</v>
      </c>
      <c r="I445">
        <v>2</v>
      </c>
      <c r="J445">
        <v>-999</v>
      </c>
      <c r="K445" t="s">
        <v>111</v>
      </c>
      <c r="P445" t="s">
        <v>123</v>
      </c>
      <c r="Q445" t="s">
        <v>67</v>
      </c>
      <c r="R445" t="s">
        <v>31</v>
      </c>
    </row>
    <row r="446" spans="1:19" x14ac:dyDescent="0.45">
      <c r="F446">
        <v>10</v>
      </c>
      <c r="H446">
        <v>748</v>
      </c>
      <c r="I446">
        <v>2</v>
      </c>
      <c r="Q446" t="s">
        <v>44</v>
      </c>
      <c r="R446" t="s">
        <v>31</v>
      </c>
    </row>
    <row r="447" spans="1:19" x14ac:dyDescent="0.45">
      <c r="D447">
        <v>7</v>
      </c>
      <c r="E447">
        <v>80</v>
      </c>
      <c r="F447">
        <v>1</v>
      </c>
      <c r="H447">
        <v>748</v>
      </c>
      <c r="I447">
        <v>4</v>
      </c>
      <c r="L447">
        <v>425</v>
      </c>
      <c r="M447" t="s">
        <v>13</v>
      </c>
      <c r="N447">
        <f>425+748-669+1</f>
        <v>505</v>
      </c>
      <c r="O447">
        <f>N447*80</f>
        <v>40400</v>
      </c>
      <c r="Q447" t="s">
        <v>117</v>
      </c>
      <c r="R447" t="s">
        <v>31</v>
      </c>
    </row>
    <row r="448" spans="1:19" x14ac:dyDescent="0.45">
      <c r="F448">
        <v>2</v>
      </c>
      <c r="H448">
        <v>748</v>
      </c>
      <c r="I448" s="1" t="s">
        <v>19</v>
      </c>
      <c r="P448" t="s">
        <v>28</v>
      </c>
    </row>
    <row r="449" spans="4:18" x14ac:dyDescent="0.45">
      <c r="F449">
        <v>4</v>
      </c>
      <c r="H449">
        <v>748</v>
      </c>
      <c r="I449">
        <v>2</v>
      </c>
      <c r="J449">
        <v>390</v>
      </c>
      <c r="K449" t="s">
        <v>13</v>
      </c>
      <c r="Q449" t="s">
        <v>72</v>
      </c>
      <c r="R449" t="s">
        <v>32</v>
      </c>
    </row>
    <row r="450" spans="4:18" x14ac:dyDescent="0.45">
      <c r="F450">
        <v>9</v>
      </c>
      <c r="H450">
        <v>748</v>
      </c>
      <c r="I450">
        <v>2</v>
      </c>
      <c r="P450" t="s">
        <v>123</v>
      </c>
      <c r="Q450" t="s">
        <v>72</v>
      </c>
      <c r="R450" t="s">
        <v>34</v>
      </c>
    </row>
    <row r="451" spans="4:18" x14ac:dyDescent="0.45">
      <c r="F451">
        <v>10</v>
      </c>
      <c r="H451">
        <v>748</v>
      </c>
      <c r="I451">
        <v>2</v>
      </c>
      <c r="L451">
        <v>335</v>
      </c>
      <c r="M451" t="s">
        <v>13</v>
      </c>
      <c r="N451">
        <f>335+748*4-632+1</f>
        <v>2696</v>
      </c>
      <c r="O451">
        <f>N451*80</f>
        <v>215680</v>
      </c>
      <c r="P451" t="s">
        <v>189</v>
      </c>
      <c r="Q451" t="s">
        <v>44</v>
      </c>
      <c r="R451" t="s">
        <v>31</v>
      </c>
    </row>
    <row r="452" spans="4:18" x14ac:dyDescent="0.45">
      <c r="F452">
        <v>11</v>
      </c>
      <c r="H452">
        <v>748</v>
      </c>
      <c r="I452">
        <v>1</v>
      </c>
      <c r="P452" t="s">
        <v>122</v>
      </c>
      <c r="Q452" t="s">
        <v>40</v>
      </c>
      <c r="R452" t="s">
        <v>31</v>
      </c>
    </row>
    <row r="453" spans="4:18" x14ac:dyDescent="0.45">
      <c r="D453">
        <v>8</v>
      </c>
      <c r="E453">
        <v>80</v>
      </c>
      <c r="F453">
        <v>2</v>
      </c>
      <c r="H453">
        <v>748</v>
      </c>
      <c r="I453" s="1" t="s">
        <v>19</v>
      </c>
      <c r="P453" t="s">
        <v>28</v>
      </c>
    </row>
    <row r="454" spans="4:18" x14ac:dyDescent="0.45">
      <c r="F454">
        <v>3</v>
      </c>
      <c r="H454">
        <v>748</v>
      </c>
      <c r="I454">
        <v>5</v>
      </c>
      <c r="J454">
        <v>205</v>
      </c>
      <c r="K454" t="s">
        <v>14</v>
      </c>
      <c r="Q454" t="s">
        <v>40</v>
      </c>
      <c r="R454" t="s">
        <v>31</v>
      </c>
    </row>
    <row r="455" spans="4:18" x14ac:dyDescent="0.45">
      <c r="F455">
        <v>3</v>
      </c>
      <c r="H455">
        <v>748</v>
      </c>
      <c r="I455">
        <v>5</v>
      </c>
      <c r="L455">
        <v>247</v>
      </c>
      <c r="M455" t="s">
        <v>13</v>
      </c>
      <c r="N455">
        <f>247-205+1</f>
        <v>43</v>
      </c>
      <c r="O455">
        <f>N455*80</f>
        <v>3440</v>
      </c>
      <c r="R455" t="s">
        <v>31</v>
      </c>
    </row>
    <row r="456" spans="4:18" x14ac:dyDescent="0.45">
      <c r="F456">
        <v>4</v>
      </c>
      <c r="H456">
        <v>748</v>
      </c>
      <c r="I456">
        <v>2</v>
      </c>
      <c r="L456">
        <v>53</v>
      </c>
      <c r="M456" t="s">
        <v>35</v>
      </c>
      <c r="N456">
        <f>53+748*1-390+1</f>
        <v>412</v>
      </c>
      <c r="O456">
        <f>N456*80</f>
        <v>32960</v>
      </c>
      <c r="Q456" t="s">
        <v>72</v>
      </c>
      <c r="R456" t="s">
        <v>32</v>
      </c>
    </row>
    <row r="457" spans="4:18" x14ac:dyDescent="0.45">
      <c r="F457">
        <v>9</v>
      </c>
      <c r="H457">
        <v>748</v>
      </c>
      <c r="I457">
        <v>2</v>
      </c>
      <c r="P457" t="s">
        <v>123</v>
      </c>
      <c r="Q457" t="s">
        <v>72</v>
      </c>
      <c r="R457" t="s">
        <v>34</v>
      </c>
    </row>
    <row r="458" spans="4:18" x14ac:dyDescent="0.45">
      <c r="F458">
        <v>11</v>
      </c>
      <c r="H458">
        <v>748</v>
      </c>
      <c r="I458">
        <v>1</v>
      </c>
      <c r="P458" t="s">
        <v>122</v>
      </c>
      <c r="Q458" t="s">
        <v>40</v>
      </c>
      <c r="R458" t="s">
        <v>31</v>
      </c>
    </row>
    <row r="459" spans="4:18" x14ac:dyDescent="0.45">
      <c r="D459">
        <v>9</v>
      </c>
      <c r="E459">
        <v>80</v>
      </c>
      <c r="F459">
        <v>2</v>
      </c>
      <c r="H459">
        <v>748</v>
      </c>
      <c r="I459" s="1" t="s">
        <v>19</v>
      </c>
      <c r="P459" t="s">
        <v>28</v>
      </c>
    </row>
    <row r="460" spans="4:18" x14ac:dyDescent="0.45">
      <c r="F460">
        <v>9</v>
      </c>
      <c r="H460">
        <v>748</v>
      </c>
      <c r="I460">
        <v>2</v>
      </c>
      <c r="P460" t="s">
        <v>123</v>
      </c>
      <c r="Q460" t="s">
        <v>72</v>
      </c>
      <c r="R460" t="s">
        <v>34</v>
      </c>
    </row>
    <row r="461" spans="4:18" x14ac:dyDescent="0.45">
      <c r="F461">
        <v>11</v>
      </c>
      <c r="H461">
        <v>748</v>
      </c>
      <c r="I461">
        <v>1</v>
      </c>
      <c r="P461" t="s">
        <v>122</v>
      </c>
      <c r="Q461" t="s">
        <v>40</v>
      </c>
      <c r="R461" t="s">
        <v>31</v>
      </c>
    </row>
    <row r="462" spans="4:18" x14ac:dyDescent="0.45">
      <c r="D462">
        <v>10</v>
      </c>
      <c r="E462">
        <v>80</v>
      </c>
      <c r="F462">
        <v>2</v>
      </c>
      <c r="H462">
        <v>748</v>
      </c>
      <c r="I462" s="1" t="s">
        <v>19</v>
      </c>
      <c r="P462" t="s">
        <v>28</v>
      </c>
    </row>
    <row r="463" spans="4:18" x14ac:dyDescent="0.45">
      <c r="F463">
        <v>9</v>
      </c>
      <c r="H463">
        <v>748</v>
      </c>
      <c r="I463">
        <v>2</v>
      </c>
      <c r="L463">
        <v>104</v>
      </c>
      <c r="M463" t="s">
        <v>13</v>
      </c>
      <c r="N463">
        <f>104+748*4</f>
        <v>3096</v>
      </c>
      <c r="O463">
        <f>N463*80</f>
        <v>247680</v>
      </c>
      <c r="P463" t="s">
        <v>123</v>
      </c>
      <c r="Q463" t="s">
        <v>72</v>
      </c>
      <c r="R463" t="s">
        <v>34</v>
      </c>
    </row>
    <row r="464" spans="4:18" x14ac:dyDescent="0.45">
      <c r="F464">
        <v>11</v>
      </c>
      <c r="H464">
        <v>748</v>
      </c>
      <c r="I464">
        <v>1</v>
      </c>
      <c r="P464" t="s">
        <v>122</v>
      </c>
      <c r="Q464" t="s">
        <v>40</v>
      </c>
      <c r="R464" t="s">
        <v>31</v>
      </c>
    </row>
    <row r="465" spans="4:18" x14ac:dyDescent="0.45">
      <c r="D465">
        <v>11</v>
      </c>
      <c r="E465">
        <v>80</v>
      </c>
      <c r="F465">
        <v>2</v>
      </c>
      <c r="H465">
        <v>748</v>
      </c>
      <c r="I465" s="1" t="s">
        <v>19</v>
      </c>
      <c r="P465" t="s">
        <v>28</v>
      </c>
    </row>
    <row r="466" spans="4:18" x14ac:dyDescent="0.45">
      <c r="F466">
        <v>11</v>
      </c>
      <c r="H466">
        <v>748</v>
      </c>
      <c r="I466">
        <v>1</v>
      </c>
      <c r="M466" s="1" t="s">
        <v>19</v>
      </c>
      <c r="N466" t="s">
        <v>187</v>
      </c>
      <c r="O466" s="1" t="s">
        <v>19</v>
      </c>
      <c r="P466" t="s">
        <v>122</v>
      </c>
      <c r="Q466" t="s">
        <v>40</v>
      </c>
      <c r="R466" t="s">
        <v>31</v>
      </c>
    </row>
    <row r="467" spans="4:18" x14ac:dyDescent="0.45">
      <c r="F467">
        <v>12</v>
      </c>
      <c r="H467">
        <v>748</v>
      </c>
      <c r="I467" s="1" t="s">
        <v>19</v>
      </c>
      <c r="P467" t="s">
        <v>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F19B-AD3B-46FF-AD9E-1A9F432878BB}">
  <dimension ref="A1"/>
  <sheetViews>
    <sheetView workbookViewId="0">
      <selection activeCell="C7" sqref="C7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49D-7C8B-46FD-B126-3C65108C5FC2}">
  <dimension ref="C1:S346"/>
  <sheetViews>
    <sheetView topLeftCell="A16" workbookViewId="0">
      <selection activeCell="F27" sqref="F27"/>
    </sheetView>
  </sheetViews>
  <sheetFormatPr defaultRowHeight="14.25" x14ac:dyDescent="0.45"/>
  <sheetData>
    <row r="1" spans="3:19" x14ac:dyDescent="0.45">
      <c r="C1" t="s">
        <v>3</v>
      </c>
      <c r="E1" t="s">
        <v>4</v>
      </c>
      <c r="G1" t="s">
        <v>38</v>
      </c>
      <c r="J1" t="s">
        <v>46</v>
      </c>
      <c r="N1" t="s">
        <v>50</v>
      </c>
      <c r="R1" t="s">
        <v>57</v>
      </c>
    </row>
    <row r="2" spans="3:19" x14ac:dyDescent="0.45">
      <c r="J2" t="s">
        <v>49</v>
      </c>
      <c r="K2" t="str" cm="1">
        <f t="array" ref="K2:K5">_xlfn.UNIQUE(C:C)</f>
        <v>entry via</v>
      </c>
      <c r="N2" t="s">
        <v>49</v>
      </c>
      <c r="O2" t="str" cm="1">
        <f t="array" ref="O2:O7">_xlfn.UNIQUE(E:E)</f>
        <v>escape via</v>
      </c>
      <c r="R2" t="s">
        <v>55</v>
      </c>
      <c r="S2">
        <f>AVERAGE(G:G)/1000</f>
        <v>68.60138095238095</v>
      </c>
    </row>
    <row r="3" spans="3:19" x14ac:dyDescent="0.45">
      <c r="C3" t="s">
        <v>13</v>
      </c>
      <c r="G3" s="1"/>
      <c r="K3">
        <v>0</v>
      </c>
      <c r="O3">
        <v>0</v>
      </c>
      <c r="R3" t="s">
        <v>56</v>
      </c>
      <c r="S3">
        <f>_xlfn.STDEV.P(G:G)/1000</f>
        <v>70.019471143985712</v>
      </c>
    </row>
    <row r="4" spans="3:19" x14ac:dyDescent="0.45">
      <c r="C4" t="s">
        <v>14</v>
      </c>
      <c r="G4" s="1"/>
      <c r="K4" t="str">
        <v>b</v>
      </c>
      <c r="O4" t="str">
        <v>b</v>
      </c>
      <c r="R4" t="s">
        <v>58</v>
      </c>
      <c r="S4">
        <f>MAX(G:G)/1000</f>
        <v>250</v>
      </c>
    </row>
    <row r="5" spans="3:19" x14ac:dyDescent="0.45">
      <c r="E5" t="s">
        <v>13</v>
      </c>
      <c r="K5" t="str">
        <v>f</v>
      </c>
      <c r="O5" t="str">
        <v>f_c</v>
      </c>
      <c r="R5" t="s">
        <v>59</v>
      </c>
      <c r="S5">
        <f>MIN(G:G)/1000</f>
        <v>1.323</v>
      </c>
    </row>
    <row r="6" spans="3:19" x14ac:dyDescent="0.45">
      <c r="E6" t="s">
        <v>26</v>
      </c>
      <c r="O6" t="str">
        <v>f_s</v>
      </c>
      <c r="R6" t="s">
        <v>60</v>
      </c>
      <c r="S6">
        <f>MEDIAN(G:G)/1000</f>
        <v>38.56</v>
      </c>
    </row>
    <row r="7" spans="3:19" x14ac:dyDescent="0.45">
      <c r="C7" t="s">
        <v>14</v>
      </c>
      <c r="O7" t="str">
        <v>unknown</v>
      </c>
      <c r="R7" t="s">
        <v>29</v>
      </c>
      <c r="S7">
        <f>COUNT(G:G)</f>
        <v>21</v>
      </c>
    </row>
    <row r="8" spans="3:19" x14ac:dyDescent="0.45">
      <c r="C8" t="s">
        <v>14</v>
      </c>
      <c r="E8" t="s">
        <v>26</v>
      </c>
      <c r="G8">
        <v>1323</v>
      </c>
      <c r="L8" t="s">
        <v>54</v>
      </c>
      <c r="P8" t="s">
        <v>54</v>
      </c>
    </row>
    <row r="9" spans="3:19" x14ac:dyDescent="0.45">
      <c r="J9" t="s">
        <v>47</v>
      </c>
      <c r="K9">
        <f>COUNTIF(C:C, "b")</f>
        <v>44</v>
      </c>
      <c r="L9">
        <f>ROUND(K9/SUM($K$9:$K$10)*100, 1)</f>
        <v>44.9</v>
      </c>
      <c r="N9" t="s">
        <v>47</v>
      </c>
      <c r="O9">
        <f>COUNTIF(E:E, "b")</f>
        <v>56</v>
      </c>
      <c r="P9">
        <f>ROUND(O9/SUM($O$9:$O$12)*100, 1)</f>
        <v>59.6</v>
      </c>
    </row>
    <row r="10" spans="3:19" x14ac:dyDescent="0.45">
      <c r="J10" t="s">
        <v>48</v>
      </c>
      <c r="K10">
        <f>COUNTIF(C:C, "f")</f>
        <v>54</v>
      </c>
      <c r="L10">
        <f>ROUND(K10/SUM($K$9:$K$10)*100, 1)</f>
        <v>55.1</v>
      </c>
      <c r="N10" t="s">
        <v>51</v>
      </c>
      <c r="O10">
        <f>COUNTIF(E:E, "f_c")</f>
        <v>23</v>
      </c>
      <c r="P10">
        <f t="shared" ref="P10:P12" si="0">ROUND(O10/SUM($O$9:$O$12)*100, 1)</f>
        <v>24.5</v>
      </c>
    </row>
    <row r="11" spans="3:19" x14ac:dyDescent="0.45">
      <c r="J11" t="s">
        <v>29</v>
      </c>
      <c r="K11">
        <f>SUM(K9:K10)</f>
        <v>98</v>
      </c>
      <c r="L11">
        <f>SUM(L9:L10)</f>
        <v>100</v>
      </c>
      <c r="N11" t="s">
        <v>52</v>
      </c>
      <c r="O11">
        <f>COUNTIF(E:E, "f_s")</f>
        <v>12</v>
      </c>
      <c r="P11">
        <f t="shared" si="0"/>
        <v>12.8</v>
      </c>
    </row>
    <row r="12" spans="3:19" x14ac:dyDescent="0.45">
      <c r="C12" t="s">
        <v>13</v>
      </c>
      <c r="G12" s="1"/>
      <c r="N12" t="s">
        <v>53</v>
      </c>
      <c r="O12">
        <f>COUNTIF(E:E, "unknown")</f>
        <v>3</v>
      </c>
      <c r="P12">
        <f t="shared" si="0"/>
        <v>3.2</v>
      </c>
    </row>
    <row r="13" spans="3:19" x14ac:dyDescent="0.45">
      <c r="C13" t="s">
        <v>14</v>
      </c>
      <c r="N13" t="s">
        <v>29</v>
      </c>
      <c r="O13">
        <f>SUM(O9:O12)</f>
        <v>94</v>
      </c>
      <c r="P13">
        <f>SUM(P9:P12)</f>
        <v>100.1</v>
      </c>
    </row>
    <row r="14" spans="3:19" x14ac:dyDescent="0.45">
      <c r="E14" t="s">
        <v>13</v>
      </c>
      <c r="G14" s="1"/>
    </row>
    <row r="15" spans="3:19" x14ac:dyDescent="0.45">
      <c r="G15" s="1"/>
    </row>
    <row r="16" spans="3:19" x14ac:dyDescent="0.45">
      <c r="E16" t="s">
        <v>13</v>
      </c>
    </row>
    <row r="17" spans="3:7" x14ac:dyDescent="0.45">
      <c r="C17" t="s">
        <v>14</v>
      </c>
    </row>
    <row r="20" spans="3:7" x14ac:dyDescent="0.45">
      <c r="G20" s="1"/>
    </row>
    <row r="21" spans="3:7" x14ac:dyDescent="0.45">
      <c r="C21" t="s">
        <v>13</v>
      </c>
    </row>
    <row r="22" spans="3:7" x14ac:dyDescent="0.45">
      <c r="E22" t="s">
        <v>26</v>
      </c>
    </row>
    <row r="24" spans="3:7" x14ac:dyDescent="0.45">
      <c r="E24" t="s">
        <v>26</v>
      </c>
      <c r="G24">
        <v>32256</v>
      </c>
    </row>
    <row r="32" spans="3:7" x14ac:dyDescent="0.45">
      <c r="G32" s="1"/>
    </row>
    <row r="34" spans="3:7" x14ac:dyDescent="0.45">
      <c r="E34" t="s">
        <v>26</v>
      </c>
    </row>
    <row r="35" spans="3:7" x14ac:dyDescent="0.45">
      <c r="C35" t="s">
        <v>13</v>
      </c>
    </row>
    <row r="40" spans="3:7" x14ac:dyDescent="0.45">
      <c r="C40" t="s">
        <v>14</v>
      </c>
    </row>
    <row r="43" spans="3:7" x14ac:dyDescent="0.45">
      <c r="C43" t="s">
        <v>13</v>
      </c>
    </row>
    <row r="46" spans="3:7" x14ac:dyDescent="0.45">
      <c r="C46" t="s">
        <v>14</v>
      </c>
      <c r="G46" s="1"/>
    </row>
    <row r="48" spans="3:7" x14ac:dyDescent="0.45">
      <c r="E48" t="s">
        <v>26</v>
      </c>
    </row>
    <row r="53" spans="3:7" x14ac:dyDescent="0.45">
      <c r="C53" t="s">
        <v>13</v>
      </c>
    </row>
    <row r="56" spans="3:7" x14ac:dyDescent="0.45">
      <c r="E56" t="s">
        <v>13</v>
      </c>
    </row>
    <row r="58" spans="3:7" x14ac:dyDescent="0.45">
      <c r="E58" t="s">
        <v>13</v>
      </c>
    </row>
    <row r="60" spans="3:7" x14ac:dyDescent="0.45">
      <c r="G60" s="1"/>
    </row>
    <row r="62" spans="3:7" x14ac:dyDescent="0.45">
      <c r="E62" t="s">
        <v>35</v>
      </c>
      <c r="G62" s="1"/>
    </row>
    <row r="64" spans="3:7" x14ac:dyDescent="0.45">
      <c r="E64" t="s">
        <v>13</v>
      </c>
    </row>
    <row r="67" spans="3:7" x14ac:dyDescent="0.45">
      <c r="C67" t="s">
        <v>14</v>
      </c>
    </row>
    <row r="68" spans="3:7" x14ac:dyDescent="0.45">
      <c r="C68" t="s">
        <v>14</v>
      </c>
      <c r="E68" t="s">
        <v>13</v>
      </c>
      <c r="G68">
        <v>16650</v>
      </c>
    </row>
    <row r="69" spans="3:7" x14ac:dyDescent="0.45">
      <c r="C69" t="s">
        <v>14</v>
      </c>
    </row>
    <row r="71" spans="3:7" x14ac:dyDescent="0.45">
      <c r="C71" t="s">
        <v>14</v>
      </c>
      <c r="G71" s="1"/>
    </row>
    <row r="72" spans="3:7" x14ac:dyDescent="0.45">
      <c r="C72" t="s">
        <v>14</v>
      </c>
      <c r="G72" s="1"/>
    </row>
    <row r="73" spans="3:7" x14ac:dyDescent="0.45">
      <c r="E73" t="s">
        <v>35</v>
      </c>
      <c r="G73" t="s">
        <v>19</v>
      </c>
    </row>
    <row r="74" spans="3:7" x14ac:dyDescent="0.45">
      <c r="E74" t="s">
        <v>37</v>
      </c>
    </row>
    <row r="82" spans="3:7" x14ac:dyDescent="0.45">
      <c r="C82" t="s">
        <v>13</v>
      </c>
    </row>
    <row r="83" spans="3:7" x14ac:dyDescent="0.45">
      <c r="E83" t="s">
        <v>26</v>
      </c>
    </row>
    <row r="84" spans="3:7" x14ac:dyDescent="0.45">
      <c r="C84" t="s">
        <v>14</v>
      </c>
    </row>
    <row r="88" spans="3:7" x14ac:dyDescent="0.45">
      <c r="C88" t="s">
        <v>14</v>
      </c>
    </row>
    <row r="90" spans="3:7" x14ac:dyDescent="0.45">
      <c r="E90" t="s">
        <v>13</v>
      </c>
      <c r="G90">
        <v>82480</v>
      </c>
    </row>
    <row r="91" spans="3:7" x14ac:dyDescent="0.45">
      <c r="C91" t="s">
        <v>14</v>
      </c>
    </row>
    <row r="93" spans="3:7" x14ac:dyDescent="0.45">
      <c r="C93" t="s">
        <v>14</v>
      </c>
    </row>
    <row r="94" spans="3:7" x14ac:dyDescent="0.45">
      <c r="C94" t="s">
        <v>14</v>
      </c>
    </row>
    <row r="96" spans="3:7" x14ac:dyDescent="0.45">
      <c r="C96" t="s">
        <v>13</v>
      </c>
      <c r="E96" t="s">
        <v>35</v>
      </c>
      <c r="G96">
        <v>32880</v>
      </c>
    </row>
    <row r="99" spans="3:7" x14ac:dyDescent="0.45">
      <c r="E99" t="s">
        <v>13</v>
      </c>
    </row>
    <row r="100" spans="3:7" x14ac:dyDescent="0.45">
      <c r="E100" t="s">
        <v>13</v>
      </c>
      <c r="G100">
        <v>67760</v>
      </c>
    </row>
    <row r="101" spans="3:7" x14ac:dyDescent="0.45">
      <c r="E101" t="s">
        <v>13</v>
      </c>
      <c r="G101">
        <v>50880</v>
      </c>
    </row>
    <row r="102" spans="3:7" x14ac:dyDescent="0.45">
      <c r="E102" t="s">
        <v>13</v>
      </c>
      <c r="G102">
        <v>139520</v>
      </c>
    </row>
    <row r="104" spans="3:7" x14ac:dyDescent="0.45">
      <c r="E104" t="s">
        <v>13</v>
      </c>
    </row>
    <row r="107" spans="3:7" x14ac:dyDescent="0.45">
      <c r="C107" t="s">
        <v>14</v>
      </c>
    </row>
    <row r="108" spans="3:7" x14ac:dyDescent="0.45">
      <c r="E108" t="s">
        <v>26</v>
      </c>
    </row>
    <row r="111" spans="3:7" x14ac:dyDescent="0.45">
      <c r="C111" t="s">
        <v>14</v>
      </c>
    </row>
    <row r="113" spans="3:7" x14ac:dyDescent="0.45">
      <c r="E113" t="s">
        <v>13</v>
      </c>
      <c r="G113">
        <v>112000</v>
      </c>
    </row>
    <row r="117" spans="3:7" x14ac:dyDescent="0.45">
      <c r="C117" t="s">
        <v>13</v>
      </c>
    </row>
    <row r="120" spans="3:7" x14ac:dyDescent="0.45">
      <c r="C120" t="s">
        <v>14</v>
      </c>
    </row>
    <row r="122" spans="3:7" x14ac:dyDescent="0.45">
      <c r="E122" t="s">
        <v>13</v>
      </c>
      <c r="G122">
        <v>250000</v>
      </c>
    </row>
    <row r="123" spans="3:7" x14ac:dyDescent="0.45">
      <c r="E123" t="s">
        <v>13</v>
      </c>
      <c r="G123">
        <v>38560</v>
      </c>
    </row>
    <row r="130" spans="3:7" x14ac:dyDescent="0.45">
      <c r="C130" t="s">
        <v>14</v>
      </c>
      <c r="E130" t="s">
        <v>13</v>
      </c>
      <c r="G130">
        <v>6320</v>
      </c>
    </row>
    <row r="131" spans="3:7" x14ac:dyDescent="0.45">
      <c r="C131" t="s">
        <v>13</v>
      </c>
    </row>
    <row r="132" spans="3:7" x14ac:dyDescent="0.45">
      <c r="C132" t="s">
        <v>13</v>
      </c>
    </row>
    <row r="133" spans="3:7" x14ac:dyDescent="0.45">
      <c r="C133" t="s">
        <v>13</v>
      </c>
    </row>
    <row r="134" spans="3:7" x14ac:dyDescent="0.45">
      <c r="E134" t="s">
        <v>13</v>
      </c>
    </row>
    <row r="135" spans="3:7" x14ac:dyDescent="0.45">
      <c r="C135" t="s">
        <v>13</v>
      </c>
    </row>
    <row r="136" spans="3:7" x14ac:dyDescent="0.45">
      <c r="E136" t="s">
        <v>13</v>
      </c>
    </row>
    <row r="137" spans="3:7" x14ac:dyDescent="0.45">
      <c r="E137" t="s">
        <v>13</v>
      </c>
    </row>
    <row r="150" spans="3:5" x14ac:dyDescent="0.45">
      <c r="C150" t="s">
        <v>13</v>
      </c>
    </row>
    <row r="151" spans="3:5" x14ac:dyDescent="0.45">
      <c r="C151" t="s">
        <v>13</v>
      </c>
    </row>
    <row r="153" spans="3:5" x14ac:dyDescent="0.45">
      <c r="E153" t="s">
        <v>13</v>
      </c>
    </row>
    <row r="154" spans="3:5" x14ac:dyDescent="0.45">
      <c r="C154" t="s">
        <v>13</v>
      </c>
    </row>
    <row r="157" spans="3:5" x14ac:dyDescent="0.45">
      <c r="C157" t="s">
        <v>13</v>
      </c>
    </row>
    <row r="158" spans="3:5" x14ac:dyDescent="0.45">
      <c r="C158" t="s">
        <v>14</v>
      </c>
    </row>
    <row r="159" spans="3:5" x14ac:dyDescent="0.45">
      <c r="E159" t="s">
        <v>13</v>
      </c>
    </row>
    <row r="160" spans="3:5" x14ac:dyDescent="0.45">
      <c r="E160" t="s">
        <v>26</v>
      </c>
    </row>
    <row r="162" spans="3:5" x14ac:dyDescent="0.45">
      <c r="C162" t="s">
        <v>13</v>
      </c>
    </row>
    <row r="163" spans="3:5" x14ac:dyDescent="0.45">
      <c r="E163" t="s">
        <v>35</v>
      </c>
    </row>
    <row r="164" spans="3:5" x14ac:dyDescent="0.45">
      <c r="E164" t="s">
        <v>13</v>
      </c>
    </row>
    <row r="165" spans="3:5" x14ac:dyDescent="0.45">
      <c r="E165" t="s">
        <v>26</v>
      </c>
    </row>
    <row r="166" spans="3:5" x14ac:dyDescent="0.45">
      <c r="C166" t="s">
        <v>13</v>
      </c>
    </row>
    <row r="167" spans="3:5" x14ac:dyDescent="0.45">
      <c r="C167" t="s">
        <v>14</v>
      </c>
    </row>
    <row r="168" spans="3:5" x14ac:dyDescent="0.45">
      <c r="E168" t="s">
        <v>13</v>
      </c>
    </row>
    <row r="171" spans="3:5" x14ac:dyDescent="0.45">
      <c r="C171" t="s">
        <v>13</v>
      </c>
    </row>
    <row r="172" spans="3:5" x14ac:dyDescent="0.45">
      <c r="C172" t="s">
        <v>14</v>
      </c>
    </row>
    <row r="175" spans="3:5" x14ac:dyDescent="0.45">
      <c r="C175" t="s">
        <v>13</v>
      </c>
    </row>
    <row r="179" spans="3:5" x14ac:dyDescent="0.45">
      <c r="E179" t="s">
        <v>37</v>
      </c>
    </row>
    <row r="180" spans="3:5" x14ac:dyDescent="0.45">
      <c r="E180" t="s">
        <v>37</v>
      </c>
    </row>
    <row r="181" spans="3:5" x14ac:dyDescent="0.45">
      <c r="E181" t="s">
        <v>26</v>
      </c>
    </row>
    <row r="183" spans="3:5" x14ac:dyDescent="0.45">
      <c r="E183" t="s">
        <v>13</v>
      </c>
    </row>
    <row r="184" spans="3:5" x14ac:dyDescent="0.45">
      <c r="C184" t="s">
        <v>13</v>
      </c>
    </row>
    <row r="185" spans="3:5" x14ac:dyDescent="0.45">
      <c r="E185" t="s">
        <v>13</v>
      </c>
    </row>
    <row r="187" spans="3:5" x14ac:dyDescent="0.45">
      <c r="E187" t="s">
        <v>13</v>
      </c>
    </row>
    <row r="188" spans="3:5" x14ac:dyDescent="0.45">
      <c r="C188" t="s">
        <v>14</v>
      </c>
    </row>
    <row r="189" spans="3:5" x14ac:dyDescent="0.45">
      <c r="E189" t="s">
        <v>13</v>
      </c>
    </row>
    <row r="190" spans="3:5" x14ac:dyDescent="0.45">
      <c r="C190" t="s">
        <v>14</v>
      </c>
    </row>
    <row r="193" spans="3:7" x14ac:dyDescent="0.45">
      <c r="C193" t="s">
        <v>14</v>
      </c>
      <c r="E193" t="s">
        <v>13</v>
      </c>
      <c r="G193">
        <v>14880</v>
      </c>
    </row>
    <row r="194" spans="3:7" x14ac:dyDescent="0.45">
      <c r="E194" t="s">
        <v>13</v>
      </c>
      <c r="G194">
        <v>78160</v>
      </c>
    </row>
    <row r="199" spans="3:7" x14ac:dyDescent="0.45">
      <c r="C199" t="s">
        <v>13</v>
      </c>
    </row>
    <row r="200" spans="3:7" x14ac:dyDescent="0.45">
      <c r="C200" t="s">
        <v>13</v>
      </c>
    </row>
    <row r="201" spans="3:7" x14ac:dyDescent="0.45">
      <c r="C201" t="s">
        <v>14</v>
      </c>
      <c r="E201" t="s">
        <v>13</v>
      </c>
      <c r="G201">
        <v>3760</v>
      </c>
    </row>
    <row r="202" spans="3:7" x14ac:dyDescent="0.45">
      <c r="C202" t="s">
        <v>14</v>
      </c>
      <c r="E202" t="s">
        <v>13</v>
      </c>
      <c r="G202">
        <v>34720</v>
      </c>
    </row>
    <row r="206" spans="3:7" x14ac:dyDescent="0.45">
      <c r="E206" t="s">
        <v>13</v>
      </c>
    </row>
    <row r="209" spans="3:7" x14ac:dyDescent="0.45">
      <c r="C209" t="s">
        <v>13</v>
      </c>
    </row>
    <row r="216" spans="3:7" x14ac:dyDescent="0.45">
      <c r="E216" t="s">
        <v>26</v>
      </c>
      <c r="G216">
        <v>188320</v>
      </c>
    </row>
    <row r="218" spans="3:7" x14ac:dyDescent="0.45">
      <c r="E218" t="s">
        <v>13</v>
      </c>
    </row>
    <row r="220" spans="3:7" x14ac:dyDescent="0.45">
      <c r="E220" t="s">
        <v>26</v>
      </c>
      <c r="G220">
        <v>202640</v>
      </c>
    </row>
    <row r="221" spans="3:7" x14ac:dyDescent="0.45">
      <c r="E221" t="s">
        <v>13</v>
      </c>
    </row>
    <row r="222" spans="3:7" x14ac:dyDescent="0.45">
      <c r="E222" t="s">
        <v>13</v>
      </c>
    </row>
    <row r="223" spans="3:7" x14ac:dyDescent="0.45">
      <c r="C223" t="s">
        <v>14</v>
      </c>
    </row>
    <row r="224" spans="3:7" x14ac:dyDescent="0.45">
      <c r="C224" t="s">
        <v>13</v>
      </c>
    </row>
    <row r="225" spans="3:7" x14ac:dyDescent="0.45">
      <c r="C225" t="s">
        <v>14</v>
      </c>
    </row>
    <row r="226" spans="3:7" x14ac:dyDescent="0.45">
      <c r="C226" t="s">
        <v>13</v>
      </c>
      <c r="E226" t="s">
        <v>13</v>
      </c>
    </row>
    <row r="228" spans="3:7" x14ac:dyDescent="0.45">
      <c r="C228" t="s">
        <v>13</v>
      </c>
      <c r="G228">
        <v>14720</v>
      </c>
    </row>
    <row r="229" spans="3:7" x14ac:dyDescent="0.45">
      <c r="E229" t="s">
        <v>26</v>
      </c>
    </row>
    <row r="230" spans="3:7" x14ac:dyDescent="0.45">
      <c r="E230" t="s">
        <v>13</v>
      </c>
    </row>
    <row r="232" spans="3:7" x14ac:dyDescent="0.45">
      <c r="C232" t="s">
        <v>14</v>
      </c>
    </row>
    <row r="233" spans="3:7" x14ac:dyDescent="0.45">
      <c r="C233" t="s">
        <v>14</v>
      </c>
    </row>
    <row r="236" spans="3:7" x14ac:dyDescent="0.45">
      <c r="E236" t="s">
        <v>13</v>
      </c>
    </row>
    <row r="238" spans="3:7" x14ac:dyDescent="0.45">
      <c r="E238" t="s">
        <v>13</v>
      </c>
    </row>
    <row r="241" spans="3:7" x14ac:dyDescent="0.45">
      <c r="E241" t="s">
        <v>13</v>
      </c>
    </row>
    <row r="242" spans="3:7" x14ac:dyDescent="0.45">
      <c r="G242">
        <v>71200</v>
      </c>
    </row>
    <row r="243" spans="3:7" x14ac:dyDescent="0.45">
      <c r="C243" t="s">
        <v>14</v>
      </c>
      <c r="E243" t="s">
        <v>13</v>
      </c>
    </row>
    <row r="244" spans="3:7" x14ac:dyDescent="0.45">
      <c r="C244" t="s">
        <v>13</v>
      </c>
    </row>
    <row r="245" spans="3:7" x14ac:dyDescent="0.45">
      <c r="C245" t="s">
        <v>14</v>
      </c>
      <c r="G245">
        <v>1600</v>
      </c>
    </row>
    <row r="246" spans="3:7" x14ac:dyDescent="0.45">
      <c r="C246" t="s">
        <v>13</v>
      </c>
    </row>
    <row r="248" spans="3:7" x14ac:dyDescent="0.45">
      <c r="E248" t="s">
        <v>13</v>
      </c>
    </row>
    <row r="250" spans="3:7" x14ac:dyDescent="0.45">
      <c r="E250" t="s">
        <v>26</v>
      </c>
    </row>
    <row r="265" spans="3:5" x14ac:dyDescent="0.45">
      <c r="C265" t="s">
        <v>14</v>
      </c>
    </row>
    <row r="266" spans="3:5" x14ac:dyDescent="0.45">
      <c r="C266" t="s">
        <v>13</v>
      </c>
    </row>
    <row r="267" spans="3:5" x14ac:dyDescent="0.45">
      <c r="C267" t="s">
        <v>14</v>
      </c>
    </row>
    <row r="268" spans="3:5" x14ac:dyDescent="0.45">
      <c r="C268" t="s">
        <v>14</v>
      </c>
    </row>
    <row r="269" spans="3:5" x14ac:dyDescent="0.45">
      <c r="E269" t="s">
        <v>35</v>
      </c>
    </row>
    <row r="271" spans="3:5" x14ac:dyDescent="0.45">
      <c r="E271" t="s">
        <v>13</v>
      </c>
    </row>
    <row r="272" spans="3:5" x14ac:dyDescent="0.45">
      <c r="C272" t="s">
        <v>14</v>
      </c>
    </row>
    <row r="273" spans="3:5" x14ac:dyDescent="0.45">
      <c r="E273" t="s">
        <v>13</v>
      </c>
    </row>
    <row r="274" spans="3:5" x14ac:dyDescent="0.45">
      <c r="E274" t="s">
        <v>35</v>
      </c>
    </row>
    <row r="277" spans="3:5" x14ac:dyDescent="0.45">
      <c r="C277" t="s">
        <v>13</v>
      </c>
    </row>
    <row r="278" spans="3:5" x14ac:dyDescent="0.45">
      <c r="C278" t="s">
        <v>13</v>
      </c>
    </row>
    <row r="279" spans="3:5" x14ac:dyDescent="0.45">
      <c r="C279" t="s">
        <v>14</v>
      </c>
    </row>
    <row r="280" spans="3:5" x14ac:dyDescent="0.45">
      <c r="C280" t="s">
        <v>14</v>
      </c>
    </row>
    <row r="281" spans="3:5" x14ac:dyDescent="0.45">
      <c r="E281" t="s">
        <v>26</v>
      </c>
    </row>
    <row r="284" spans="3:5" x14ac:dyDescent="0.45">
      <c r="E284" t="s">
        <v>13</v>
      </c>
    </row>
    <row r="285" spans="3:5" x14ac:dyDescent="0.45">
      <c r="C285" t="s">
        <v>14</v>
      </c>
    </row>
    <row r="287" spans="3:5" x14ac:dyDescent="0.45">
      <c r="C287" t="s">
        <v>13</v>
      </c>
      <c r="E287" t="s">
        <v>13</v>
      </c>
    </row>
    <row r="288" spans="3:5" x14ac:dyDescent="0.45">
      <c r="C288" t="s">
        <v>14</v>
      </c>
    </row>
    <row r="289" spans="3:5" x14ac:dyDescent="0.45">
      <c r="E289" t="s">
        <v>13</v>
      </c>
    </row>
    <row r="291" spans="3:5" x14ac:dyDescent="0.45">
      <c r="E291" t="s">
        <v>13</v>
      </c>
    </row>
    <row r="292" spans="3:5" x14ac:dyDescent="0.45">
      <c r="E292" t="s">
        <v>35</v>
      </c>
    </row>
    <row r="293" spans="3:5" x14ac:dyDescent="0.45">
      <c r="C293" t="s">
        <v>14</v>
      </c>
    </row>
    <row r="294" spans="3:5" x14ac:dyDescent="0.45">
      <c r="C294" t="s">
        <v>14</v>
      </c>
    </row>
    <row r="295" spans="3:5" x14ac:dyDescent="0.45">
      <c r="E295" t="s">
        <v>13</v>
      </c>
    </row>
    <row r="296" spans="3:5" x14ac:dyDescent="0.45">
      <c r="E296" t="s">
        <v>26</v>
      </c>
    </row>
    <row r="297" spans="3:5" x14ac:dyDescent="0.45">
      <c r="C297" t="s">
        <v>13</v>
      </c>
    </row>
    <row r="298" spans="3:5" x14ac:dyDescent="0.45">
      <c r="E298" t="s">
        <v>26</v>
      </c>
    </row>
    <row r="300" spans="3:5" x14ac:dyDescent="0.45">
      <c r="C300" t="s">
        <v>13</v>
      </c>
      <c r="E300" t="s">
        <v>13</v>
      </c>
    </row>
    <row r="301" spans="3:5" x14ac:dyDescent="0.45">
      <c r="C301" t="s">
        <v>13</v>
      </c>
    </row>
    <row r="304" spans="3:5" x14ac:dyDescent="0.45">
      <c r="E304" t="s">
        <v>35</v>
      </c>
    </row>
    <row r="305" spans="3:5" x14ac:dyDescent="0.45">
      <c r="C305" t="s">
        <v>13</v>
      </c>
      <c r="E305" t="s">
        <v>35</v>
      </c>
    </row>
    <row r="306" spans="3:5" x14ac:dyDescent="0.45">
      <c r="C306" t="s">
        <v>14</v>
      </c>
      <c r="E306" t="s">
        <v>13</v>
      </c>
    </row>
    <row r="308" spans="3:5" x14ac:dyDescent="0.45">
      <c r="C308" t="s">
        <v>14</v>
      </c>
      <c r="E308" t="s">
        <v>35</v>
      </c>
    </row>
    <row r="309" spans="3:5" x14ac:dyDescent="0.45">
      <c r="C309" t="s">
        <v>13</v>
      </c>
    </row>
    <row r="310" spans="3:5" x14ac:dyDescent="0.45">
      <c r="C310" t="s">
        <v>14</v>
      </c>
    </row>
    <row r="314" spans="3:5" x14ac:dyDescent="0.45">
      <c r="C314" t="s">
        <v>14</v>
      </c>
    </row>
    <row r="316" spans="3:5" x14ac:dyDescent="0.45">
      <c r="E316" t="s">
        <v>26</v>
      </c>
    </row>
    <row r="317" spans="3:5" x14ac:dyDescent="0.45">
      <c r="E317" t="s">
        <v>26</v>
      </c>
    </row>
    <row r="318" spans="3:5" x14ac:dyDescent="0.45">
      <c r="E318" t="s">
        <v>26</v>
      </c>
    </row>
    <row r="323" spans="3:5" x14ac:dyDescent="0.45">
      <c r="C323" t="s">
        <v>13</v>
      </c>
    </row>
    <row r="325" spans="3:5" x14ac:dyDescent="0.45">
      <c r="C325" t="s">
        <v>13</v>
      </c>
    </row>
    <row r="327" spans="3:5" x14ac:dyDescent="0.45">
      <c r="C327" t="s">
        <v>13</v>
      </c>
    </row>
    <row r="328" spans="3:5" x14ac:dyDescent="0.45">
      <c r="C328" t="s">
        <v>14</v>
      </c>
    </row>
    <row r="329" spans="3:5" x14ac:dyDescent="0.45">
      <c r="C329" t="s">
        <v>14</v>
      </c>
    </row>
    <row r="331" spans="3:5" x14ac:dyDescent="0.45">
      <c r="C331" t="s">
        <v>13</v>
      </c>
    </row>
    <row r="332" spans="3:5" x14ac:dyDescent="0.45">
      <c r="C332" t="s">
        <v>13</v>
      </c>
      <c r="E332" t="s">
        <v>13</v>
      </c>
    </row>
    <row r="333" spans="3:5" x14ac:dyDescent="0.45">
      <c r="E333" t="s">
        <v>35</v>
      </c>
    </row>
    <row r="334" spans="3:5" x14ac:dyDescent="0.45">
      <c r="C334" t="s">
        <v>14</v>
      </c>
    </row>
    <row r="337" spans="3:5" x14ac:dyDescent="0.45">
      <c r="E337" t="s">
        <v>13</v>
      </c>
    </row>
    <row r="338" spans="3:5" x14ac:dyDescent="0.45">
      <c r="E338" t="s">
        <v>35</v>
      </c>
    </row>
    <row r="339" spans="3:5" x14ac:dyDescent="0.45">
      <c r="C339" t="s">
        <v>14</v>
      </c>
    </row>
    <row r="340" spans="3:5" x14ac:dyDescent="0.45">
      <c r="E340" t="s">
        <v>13</v>
      </c>
    </row>
    <row r="341" spans="3:5" x14ac:dyDescent="0.45">
      <c r="C341" t="s">
        <v>14</v>
      </c>
      <c r="E341" t="s">
        <v>26</v>
      </c>
    </row>
    <row r="342" spans="3:5" x14ac:dyDescent="0.45">
      <c r="E342" t="s">
        <v>26</v>
      </c>
    </row>
    <row r="346" spans="3:5" x14ac:dyDescent="0.45">
      <c r="E3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ND2+jobs</vt:lpstr>
      <vt:lpstr>Jobs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2025-03-18T00:17:43Z</dcterms:modified>
</cp:coreProperties>
</file>