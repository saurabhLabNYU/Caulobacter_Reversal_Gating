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i_Zeng_Data\Nikon_Minaj_bigdata\20241130_RZ_AF555_546_entry_escape_bias_1st\bias\20241130_181142_570_video0\"/>
    </mc:Choice>
  </mc:AlternateContent>
  <xr:revisionPtr revIDLastSave="0" documentId="13_ncr:1_{BE6C8E01-D202-43B7-8E29-48DE90D2367E}" xr6:coauthVersionLast="47" xr6:coauthVersionMax="47" xr10:uidLastSave="{00000000-0000-0000-0000-000000000000}"/>
  <bookViews>
    <workbookView xWindow="0" yWindow="8415" windowWidth="22500" windowHeight="5865" xr2:uid="{2FA1870F-96E7-4D35-9D42-D7F9FA014E08}"/>
  </bookViews>
  <sheets>
    <sheet name="open_forward_backward_count_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13" i="1"/>
  <c r="Q11" i="1"/>
  <c r="P11" i="1"/>
  <c r="Q2" i="1"/>
  <c r="Q8" i="1" s="1"/>
  <c r="N6" i="1"/>
  <c r="N5" i="1"/>
  <c r="N4" i="1"/>
  <c r="N3" i="1"/>
  <c r="N2" i="1"/>
</calcChain>
</file>

<file path=xl/sharedStrings.xml><?xml version="1.0" encoding="utf-8"?>
<sst xmlns="http://schemas.openxmlformats.org/spreadsheetml/2006/main" count="935" uniqueCount="218">
  <si>
    <t>Filename</t>
  </si>
  <si>
    <t>Seq_index</t>
  </si>
  <si>
    <t>Time_label</t>
  </si>
  <si>
    <t>Index</t>
  </si>
  <si>
    <t>Name</t>
  </si>
  <si>
    <t>X</t>
  </si>
  <si>
    <t>Y</t>
  </si>
  <si>
    <t>Width</t>
  </si>
  <si>
    <t>Height</t>
  </si>
  <si>
    <t>Z</t>
  </si>
  <si>
    <t>ROI_20241130_181142_570_video0_0.00s.tif.csv</t>
  </si>
  <si>
    <t>video0</t>
  </si>
  <si>
    <t>0.00s</t>
  </si>
  <si>
    <t>0005-0276-0594</t>
  </si>
  <si>
    <t>0009-0297-0693</t>
  </si>
  <si>
    <t>0009-0433-0885</t>
  </si>
  <si>
    <t>0009-0629-1028</t>
  </si>
  <si>
    <t>0009-0246-0432</t>
  </si>
  <si>
    <t>0011-0472-0545</t>
  </si>
  <si>
    <t>0009-0512-0457</t>
  </si>
  <si>
    <t>0010-0676-0378</t>
  </si>
  <si>
    <t>0005-0712-0377</t>
  </si>
  <si>
    <t>0004-0747-0425</t>
  </si>
  <si>
    <t>0011-0854-0496</t>
  </si>
  <si>
    <t>0008-0901-0391</t>
  </si>
  <si>
    <t>0006-0759-0296</t>
  </si>
  <si>
    <t>0007-0805-0304</t>
  </si>
  <si>
    <t>0007-0950-0499</t>
  </si>
  <si>
    <t>0009-1059-0484</t>
  </si>
  <si>
    <t>0009-1096-0542</t>
  </si>
  <si>
    <t>0014-1142-0560</t>
  </si>
  <si>
    <t>0012-1260-0669</t>
  </si>
  <si>
    <t>0012-0923-0764</t>
  </si>
  <si>
    <t>0012-1029-0834</t>
  </si>
  <si>
    <t>0014-0894-0655</t>
  </si>
  <si>
    <t>0016-0628-0578</t>
  </si>
  <si>
    <t>0002-0672-0800</t>
  </si>
  <si>
    <t>0002-0827-0957</t>
  </si>
  <si>
    <t>0004-0569-0734</t>
  </si>
  <si>
    <t>0002-0589-0932</t>
  </si>
  <si>
    <t>0005-0764-1066</t>
  </si>
  <si>
    <t>0001-0833-1229</t>
  </si>
  <si>
    <t>0009-0724-1181</t>
  </si>
  <si>
    <t>0008-1019-0950</t>
  </si>
  <si>
    <t>0008-0966-1024</t>
  </si>
  <si>
    <t>0011-0431-1271</t>
  </si>
  <si>
    <t>0013-0361-1259</t>
  </si>
  <si>
    <t>0020-0079-1261</t>
  </si>
  <si>
    <t>0018-0330-0888</t>
  </si>
  <si>
    <t>0023-0339-0809</t>
  </si>
  <si>
    <t>0020-0372-0803</t>
  </si>
  <si>
    <t>ROI_20241130_181142_570_video0_14.25s.tif.csv</t>
  </si>
  <si>
    <t>14.25s</t>
  </si>
  <si>
    <t>0010-0135-0440</t>
  </si>
  <si>
    <t>0007-0310-0573</t>
  </si>
  <si>
    <t>0008-0352-0516</t>
  </si>
  <si>
    <t>0010-0389-0486</t>
  </si>
  <si>
    <t>0010-0242-0593</t>
  </si>
  <si>
    <t>0012-0193-0576</t>
  </si>
  <si>
    <t>0014-0391-0755</t>
  </si>
  <si>
    <t>0014-0530-0592</t>
  </si>
  <si>
    <t>0014-0569-0684</t>
  </si>
  <si>
    <t>0015-0498-0526</t>
  </si>
  <si>
    <t>0003-0765-0308</t>
  </si>
  <si>
    <t>0005-0705-0441</t>
  </si>
  <si>
    <t>0005-0709-0485</t>
  </si>
  <si>
    <t>0005-0728-0537</t>
  </si>
  <si>
    <t>0006-0921-0489</t>
  </si>
  <si>
    <t>0006-0959-0530</t>
  </si>
  <si>
    <t>0002-0754-0719</t>
  </si>
  <si>
    <t>0003-0527-0804</t>
  </si>
  <si>
    <t>0003-0506-0943</t>
  </si>
  <si>
    <t>0003-0483-0937</t>
  </si>
  <si>
    <t>0001-0489-1144</t>
  </si>
  <si>
    <t>0001-0937-1049</t>
  </si>
  <si>
    <t>0001-0948-1358</t>
  </si>
  <si>
    <t>0001-0526-1362</t>
  </si>
  <si>
    <t>0001-0259-0658</t>
  </si>
  <si>
    <t>0002-0401-0941</t>
  </si>
  <si>
    <t>0010-0257-0929</t>
  </si>
  <si>
    <t>0008-0156-0903</t>
  </si>
  <si>
    <t>0008-0626-1135</t>
  </si>
  <si>
    <t>0008-0610-1262</t>
  </si>
  <si>
    <t>0008-0658-1285</t>
  </si>
  <si>
    <t>0007-0683-0773</t>
  </si>
  <si>
    <t>0010-0694-1025</t>
  </si>
  <si>
    <t>0010-0636-1060</t>
  </si>
  <si>
    <t>0010-0802-1181</t>
  </si>
  <si>
    <t>0009-0768-1389</t>
  </si>
  <si>
    <t>ROI_20241130_181142_570_video0_28.50s.tif.csv</t>
  </si>
  <si>
    <t>28.50s</t>
  </si>
  <si>
    <t>0002-0324-0389</t>
  </si>
  <si>
    <t>0002-0287-0570</t>
  </si>
  <si>
    <t>0006-0510-0574</t>
  </si>
  <si>
    <t>0005-0611-0513</t>
  </si>
  <si>
    <t>0004-0806-0449</t>
  </si>
  <si>
    <t>0001-0656-0276</t>
  </si>
  <si>
    <t>0001-0527-0338</t>
  </si>
  <si>
    <t>0005-0676-0512</t>
  </si>
  <si>
    <t>0002-0661-0747</t>
  </si>
  <si>
    <t>0002-0591-0839</t>
  </si>
  <si>
    <t>0010-0752-0231</t>
  </si>
  <si>
    <t>0010-0898-0691</t>
  </si>
  <si>
    <t>0015-0778-0571</t>
  </si>
  <si>
    <t>0015-0774-0785</t>
  </si>
  <si>
    <t>0003-0871-1176</t>
  </si>
  <si>
    <t>0003-0969-1060</t>
  </si>
  <si>
    <t>0003-1012-0907</t>
  </si>
  <si>
    <t>0005-1030-0863</t>
  </si>
  <si>
    <t>0007-1212-0832</t>
  </si>
  <si>
    <t>0005-1019-1247</t>
  </si>
  <si>
    <t>0007-1020-1123</t>
  </si>
  <si>
    <t>0007-0808-1252</t>
  </si>
  <si>
    <t>0016-0729-1156</t>
  </si>
  <si>
    <t>0003-0647-1071</t>
  </si>
  <si>
    <t>0004-0647-1259</t>
  </si>
  <si>
    <t>0003-0665-1164</t>
  </si>
  <si>
    <t>0010-0551-1061</t>
  </si>
  <si>
    <t>0010-0533-1094</t>
  </si>
  <si>
    <t>0010-0368-1114</t>
  </si>
  <si>
    <t>0011-0585-1345</t>
  </si>
  <si>
    <t>0009-0422-0823</t>
  </si>
  <si>
    <t>0006-0346-1348</t>
  </si>
  <si>
    <t>0003-0218-0999</t>
  </si>
  <si>
    <t>0003-0344-0807</t>
  </si>
  <si>
    <t>0001-0145-1203</t>
  </si>
  <si>
    <t>ROI_20241130_181142_570_video0_42.75s.tif.csv</t>
  </si>
  <si>
    <t>42.75s</t>
  </si>
  <si>
    <t>0001-0408-0352</t>
  </si>
  <si>
    <t>0001-0268-0354</t>
  </si>
  <si>
    <t>0001-0241-0672</t>
  </si>
  <si>
    <t>0004-0541-0222</t>
  </si>
  <si>
    <t>0005-0677-0429</t>
  </si>
  <si>
    <t>0004-0721-0324</t>
  </si>
  <si>
    <t>0001-0757-0468</t>
  </si>
  <si>
    <t>0001-0806-0610</t>
  </si>
  <si>
    <t>0001-0719-0270</t>
  </si>
  <si>
    <t>0003-0772-0555</t>
  </si>
  <si>
    <t>0003-1095-0787</t>
  </si>
  <si>
    <t>0003-1100-0658</t>
  </si>
  <si>
    <t>0003-0828-1049</t>
  </si>
  <si>
    <t>0003-0815-1025</t>
  </si>
  <si>
    <t>0007-0777-0860</t>
  </si>
  <si>
    <t>0012-0768-0774</t>
  </si>
  <si>
    <t>0011-0587-0723</t>
  </si>
  <si>
    <t>0012-0569-0875</t>
  </si>
  <si>
    <t>0013-0764-1159</t>
  </si>
  <si>
    <t>0014-0657-1146</t>
  </si>
  <si>
    <t>0008-0600-0933</t>
  </si>
  <si>
    <t>0008-0654-0999</t>
  </si>
  <si>
    <t>0007-0953-1098</t>
  </si>
  <si>
    <t>0006-1040-1178</t>
  </si>
  <si>
    <t>0006-0911-0970</t>
  </si>
  <si>
    <t>0006-0548-1092</t>
  </si>
  <si>
    <t>0007-0684-1179</t>
  </si>
  <si>
    <t>0008-0366-0935</t>
  </si>
  <si>
    <t>0002-0533-0736</t>
  </si>
  <si>
    <t>0013-0411-0866</t>
  </si>
  <si>
    <t>0013-0461-0862</t>
  </si>
  <si>
    <t>0001-0201-1253</t>
  </si>
  <si>
    <t>0001-0132-1277</t>
  </si>
  <si>
    <t>0001-0597-1232</t>
  </si>
  <si>
    <t>0003-0345-1106</t>
  </si>
  <si>
    <t>0004-0117-0901</t>
  </si>
  <si>
    <t>ROI_20241130_181142_570_video0_57.00s.tif.csv</t>
  </si>
  <si>
    <t>57.00s</t>
  </si>
  <si>
    <t>0002-0415-0372</t>
  </si>
  <si>
    <t>0002-0509-0387</t>
  </si>
  <si>
    <t>0001-0185-0475</t>
  </si>
  <si>
    <t>0001-0702-0278</t>
  </si>
  <si>
    <t>0001-0744-0334</t>
  </si>
  <si>
    <t>0001-0578-0453</t>
  </si>
  <si>
    <t>0001-0639-0523</t>
  </si>
  <si>
    <t>0003-0578-0610</t>
  </si>
  <si>
    <t>0003-0618-0635</t>
  </si>
  <si>
    <t>0005-1078-0538</t>
  </si>
  <si>
    <t>0007-1100-0495</t>
  </si>
  <si>
    <t>0005-1123-0412</t>
  </si>
  <si>
    <t>0006-1163-0364</t>
  </si>
  <si>
    <t>0005-1081-0143</t>
  </si>
  <si>
    <t>0005-0920-0568</t>
  </si>
  <si>
    <t>0005-0820-0519</t>
  </si>
  <si>
    <t>0001-0793-0853</t>
  </si>
  <si>
    <t>0004-1020-0847</t>
  </si>
  <si>
    <t>0002-0855-1101</t>
  </si>
  <si>
    <t>0001-1009-1238</t>
  </si>
  <si>
    <t>0006-1044-1223</t>
  </si>
  <si>
    <t>0008-0972-1125</t>
  </si>
  <si>
    <t>0012-1018-1074</t>
  </si>
  <si>
    <t>0012-0901-1327</t>
  </si>
  <si>
    <t>0017-0751-1141</t>
  </si>
  <si>
    <t>0016-0774-0907</t>
  </si>
  <si>
    <t>0006-0648-1381</t>
  </si>
  <si>
    <t>0008-0588-0915</t>
  </si>
  <si>
    <t>0010-0608-1286</t>
  </si>
  <si>
    <t>0019-0677-0953</t>
  </si>
  <si>
    <t>0017-0716-0793</t>
  </si>
  <si>
    <t>0008-0541-0683</t>
  </si>
  <si>
    <t>0001-0178-1038</t>
  </si>
  <si>
    <t>0001-0193-0949</t>
  </si>
  <si>
    <t>0006-0333-0698</t>
  </si>
  <si>
    <t>0021-0411-0894</t>
  </si>
  <si>
    <t>0023-0349-0787</t>
  </si>
  <si>
    <t>Forward/Backward/cannot tell/brownian/attached (F/B/N/I/A; if both F/B within 5 frames, labled as F, B)</t>
  </si>
  <si>
    <t>F</t>
  </si>
  <si>
    <t>B</t>
  </si>
  <si>
    <t>weight</t>
  </si>
  <si>
    <t>category</t>
  </si>
  <si>
    <t>sum</t>
  </si>
  <si>
    <t>description</t>
  </si>
  <si>
    <t>Forward</t>
  </si>
  <si>
    <t>Backward</t>
  </si>
  <si>
    <t>N</t>
  </si>
  <si>
    <t>motile, but cannot tell</t>
  </si>
  <si>
    <t>I</t>
  </si>
  <si>
    <t>immotile, brownian</t>
  </si>
  <si>
    <t>A</t>
  </si>
  <si>
    <t>immotile,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</si>
</sst>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6DED-45AB-4DD2-B8D7-E4C7C6A339BB}">
  <dimension ref="A1:R183"/>
  <sheetViews>
    <sheetView tabSelected="1" workbookViewId="0">
      <selection activeCell="L5" sqref="L5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203</v>
      </c>
      <c r="L1" t="s">
        <v>206</v>
      </c>
      <c r="M1" t="s">
        <v>207</v>
      </c>
      <c r="N1" t="s">
        <v>208</v>
      </c>
      <c r="O1" t="s">
        <v>209</v>
      </c>
    </row>
    <row r="2" spans="1:18" x14ac:dyDescent="0.45">
      <c r="A2" t="s">
        <v>10</v>
      </c>
      <c r="B2" t="s">
        <v>11</v>
      </c>
      <c r="C2" t="s">
        <v>12</v>
      </c>
      <c r="D2">
        <v>0</v>
      </c>
      <c r="E2" t="s">
        <v>13</v>
      </c>
      <c r="F2">
        <v>573</v>
      </c>
      <c r="G2">
        <v>255</v>
      </c>
      <c r="H2">
        <v>42</v>
      </c>
      <c r="I2">
        <v>42</v>
      </c>
      <c r="J2">
        <v>5</v>
      </c>
      <c r="K2" t="s">
        <v>204</v>
      </c>
      <c r="L2">
        <v>1</v>
      </c>
      <c r="M2" t="s">
        <v>204</v>
      </c>
      <c r="N2">
        <f>COUNTIFS(K:K,"*F*",L:L,1)</f>
        <v>120</v>
      </c>
      <c r="O2" t="s">
        <v>210</v>
      </c>
      <c r="P2">
        <v>122</v>
      </c>
      <c r="Q2">
        <f>R3/(P3/(P2+P3))/((R3/(P3/(P2+P3))+R2/(P2/(P2+P3))))</f>
        <v>0.67350157728706628</v>
      </c>
      <c r="R2">
        <v>60</v>
      </c>
    </row>
    <row r="3" spans="1:18" x14ac:dyDescent="0.45">
      <c r="A3" t="s">
        <v>10</v>
      </c>
      <c r="B3" t="s">
        <v>11</v>
      </c>
      <c r="C3" t="s">
        <v>12</v>
      </c>
      <c r="D3">
        <v>1</v>
      </c>
      <c r="E3" t="s">
        <v>14</v>
      </c>
      <c r="F3">
        <v>675</v>
      </c>
      <c r="G3">
        <v>275</v>
      </c>
      <c r="H3">
        <v>36</v>
      </c>
      <c r="I3">
        <v>44</v>
      </c>
      <c r="J3">
        <v>9</v>
      </c>
      <c r="K3" t="s">
        <v>204</v>
      </c>
      <c r="L3">
        <v>1</v>
      </c>
      <c r="M3" t="s">
        <v>205</v>
      </c>
      <c r="N3">
        <f>COUNTIFS(K:K,"*B*",L:L,1)</f>
        <v>62</v>
      </c>
      <c r="O3" t="s">
        <v>211</v>
      </c>
      <c r="P3">
        <v>69</v>
      </c>
      <c r="R3">
        <v>70</v>
      </c>
    </row>
    <row r="4" spans="1:18" x14ac:dyDescent="0.45">
      <c r="A4" t="s">
        <v>10</v>
      </c>
      <c r="B4" t="s">
        <v>11</v>
      </c>
      <c r="C4" t="s">
        <v>12</v>
      </c>
      <c r="D4">
        <v>2</v>
      </c>
      <c r="E4" t="s">
        <v>15</v>
      </c>
      <c r="F4">
        <v>867</v>
      </c>
      <c r="G4">
        <v>417</v>
      </c>
      <c r="H4">
        <v>37</v>
      </c>
      <c r="I4">
        <v>33</v>
      </c>
      <c r="J4">
        <v>9</v>
      </c>
      <c r="K4" t="s">
        <v>204</v>
      </c>
      <c r="L4">
        <v>1</v>
      </c>
      <c r="M4" t="s">
        <v>212</v>
      </c>
      <c r="N4">
        <f>COUNTIFS(K:K,"*N*",L:L,1)</f>
        <v>0</v>
      </c>
      <c r="O4" t="s">
        <v>213</v>
      </c>
    </row>
    <row r="5" spans="1:18" x14ac:dyDescent="0.45">
      <c r="A5" t="s">
        <v>10</v>
      </c>
      <c r="B5" t="s">
        <v>11</v>
      </c>
      <c r="C5" t="s">
        <v>12</v>
      </c>
      <c r="D5">
        <v>3</v>
      </c>
      <c r="E5" t="s">
        <v>16</v>
      </c>
      <c r="F5">
        <v>1007</v>
      </c>
      <c r="G5">
        <v>612</v>
      </c>
      <c r="H5">
        <v>43</v>
      </c>
      <c r="I5">
        <v>34</v>
      </c>
      <c r="J5">
        <v>9</v>
      </c>
      <c r="K5" t="s">
        <v>205</v>
      </c>
      <c r="L5">
        <v>1</v>
      </c>
      <c r="M5" t="s">
        <v>214</v>
      </c>
      <c r="N5">
        <f>COUNTIFS(K:K,"*I*",L:L,1)</f>
        <v>0</v>
      </c>
      <c r="O5" t="s">
        <v>215</v>
      </c>
    </row>
    <row r="6" spans="1:18" x14ac:dyDescent="0.45">
      <c r="A6" t="s">
        <v>10</v>
      </c>
      <c r="B6" t="s">
        <v>11</v>
      </c>
      <c r="C6" t="s">
        <v>12</v>
      </c>
      <c r="D6">
        <v>4</v>
      </c>
      <c r="E6" t="s">
        <v>17</v>
      </c>
      <c r="F6">
        <v>421</v>
      </c>
      <c r="G6">
        <v>233</v>
      </c>
      <c r="H6">
        <v>22</v>
      </c>
      <c r="I6">
        <v>26</v>
      </c>
      <c r="J6">
        <v>9</v>
      </c>
      <c r="K6" t="s">
        <v>204</v>
      </c>
      <c r="L6">
        <v>1</v>
      </c>
      <c r="M6" t="s">
        <v>216</v>
      </c>
      <c r="N6">
        <f>COUNTIFS(K:K,"*A*",L:L,1)</f>
        <v>0</v>
      </c>
      <c r="O6" t="s">
        <v>217</v>
      </c>
    </row>
    <row r="7" spans="1:18" x14ac:dyDescent="0.45">
      <c r="A7" t="s">
        <v>10</v>
      </c>
      <c r="B7" t="s">
        <v>11</v>
      </c>
      <c r="C7" t="s">
        <v>12</v>
      </c>
      <c r="D7">
        <v>5</v>
      </c>
      <c r="E7" t="s">
        <v>18</v>
      </c>
      <c r="F7">
        <v>529</v>
      </c>
      <c r="G7">
        <v>452</v>
      </c>
      <c r="H7">
        <v>33</v>
      </c>
      <c r="I7">
        <v>40</v>
      </c>
      <c r="J7">
        <v>11</v>
      </c>
      <c r="K7" t="s">
        <v>204</v>
      </c>
      <c r="L7">
        <v>1</v>
      </c>
    </row>
    <row r="8" spans="1:18" x14ac:dyDescent="0.45">
      <c r="A8" t="s">
        <v>10</v>
      </c>
      <c r="B8" t="s">
        <v>11</v>
      </c>
      <c r="C8" t="s">
        <v>12</v>
      </c>
      <c r="D8">
        <v>6</v>
      </c>
      <c r="E8" t="s">
        <v>19</v>
      </c>
      <c r="F8">
        <v>443</v>
      </c>
      <c r="G8">
        <v>499</v>
      </c>
      <c r="H8">
        <v>28</v>
      </c>
      <c r="I8">
        <v>26</v>
      </c>
      <c r="J8">
        <v>9</v>
      </c>
      <c r="K8" t="s">
        <v>204</v>
      </c>
      <c r="L8">
        <v>1</v>
      </c>
      <c r="Q8">
        <f>5*Q2</f>
        <v>3.3675078864353312</v>
      </c>
    </row>
    <row r="9" spans="1:18" x14ac:dyDescent="0.45">
      <c r="A9" t="s">
        <v>10</v>
      </c>
      <c r="B9" t="s">
        <v>11</v>
      </c>
      <c r="C9" t="s">
        <v>12</v>
      </c>
      <c r="D9">
        <v>7</v>
      </c>
      <c r="E9" t="s">
        <v>20</v>
      </c>
      <c r="F9">
        <v>364</v>
      </c>
      <c r="G9">
        <v>665</v>
      </c>
      <c r="H9">
        <v>29</v>
      </c>
      <c r="I9">
        <v>23</v>
      </c>
      <c r="J9">
        <v>10</v>
      </c>
      <c r="K9" t="s">
        <v>204</v>
      </c>
      <c r="L9">
        <v>1</v>
      </c>
    </row>
    <row r="10" spans="1:18" x14ac:dyDescent="0.45">
      <c r="A10" t="s">
        <v>10</v>
      </c>
      <c r="B10" t="s">
        <v>11</v>
      </c>
      <c r="C10" t="s">
        <v>12</v>
      </c>
      <c r="D10">
        <v>8</v>
      </c>
      <c r="E10" t="s">
        <v>21</v>
      </c>
      <c r="F10">
        <v>366</v>
      </c>
      <c r="G10">
        <v>699</v>
      </c>
      <c r="H10">
        <v>23</v>
      </c>
      <c r="I10">
        <v>26</v>
      </c>
      <c r="J10">
        <v>5</v>
      </c>
      <c r="K10" t="s">
        <v>205</v>
      </c>
      <c r="L10">
        <v>1</v>
      </c>
    </row>
    <row r="11" spans="1:18" x14ac:dyDescent="0.45">
      <c r="A11" t="s">
        <v>10</v>
      </c>
      <c r="B11" t="s">
        <v>11</v>
      </c>
      <c r="C11" t="s">
        <v>12</v>
      </c>
      <c r="D11">
        <v>9</v>
      </c>
      <c r="E11" t="s">
        <v>22</v>
      </c>
      <c r="F11">
        <v>410</v>
      </c>
      <c r="G11">
        <v>734</v>
      </c>
      <c r="H11">
        <v>30</v>
      </c>
      <c r="I11">
        <v>26</v>
      </c>
      <c r="J11">
        <v>4</v>
      </c>
      <c r="K11" t="s">
        <v>204</v>
      </c>
      <c r="L11">
        <v>1</v>
      </c>
      <c r="P11">
        <f>93/58</f>
        <v>1.603448275862069</v>
      </c>
      <c r="Q11">
        <f>3/2</f>
        <v>1.5</v>
      </c>
    </row>
    <row r="12" spans="1:18" x14ac:dyDescent="0.45">
      <c r="A12" t="s">
        <v>10</v>
      </c>
      <c r="B12" t="s">
        <v>11</v>
      </c>
      <c r="C12" t="s">
        <v>12</v>
      </c>
      <c r="D12">
        <v>10</v>
      </c>
      <c r="E12" t="s">
        <v>23</v>
      </c>
      <c r="F12">
        <v>483</v>
      </c>
      <c r="G12">
        <v>843</v>
      </c>
      <c r="H12">
        <v>26</v>
      </c>
      <c r="I12">
        <v>23</v>
      </c>
      <c r="J12">
        <v>11</v>
      </c>
      <c r="K12" t="s">
        <v>205</v>
      </c>
      <c r="L12">
        <v>1</v>
      </c>
    </row>
    <row r="13" spans="1:18" x14ac:dyDescent="0.45">
      <c r="A13" t="s">
        <v>10</v>
      </c>
      <c r="B13" t="s">
        <v>11</v>
      </c>
      <c r="C13" t="s">
        <v>12</v>
      </c>
      <c r="D13">
        <v>11</v>
      </c>
      <c r="E13" t="s">
        <v>24</v>
      </c>
      <c r="F13">
        <v>377</v>
      </c>
      <c r="G13">
        <v>886</v>
      </c>
      <c r="H13">
        <v>29</v>
      </c>
      <c r="I13">
        <v>31</v>
      </c>
      <c r="J13">
        <v>8</v>
      </c>
      <c r="K13" t="s">
        <v>204</v>
      </c>
      <c r="L13">
        <v>1</v>
      </c>
      <c r="P13">
        <f>27/13</f>
        <v>2.0769230769230771</v>
      </c>
    </row>
    <row r="14" spans="1:18" x14ac:dyDescent="0.45">
      <c r="A14" t="s">
        <v>10</v>
      </c>
      <c r="B14" t="s">
        <v>11</v>
      </c>
      <c r="C14" t="s">
        <v>12</v>
      </c>
      <c r="D14">
        <v>12</v>
      </c>
      <c r="E14" t="s">
        <v>25</v>
      </c>
      <c r="F14">
        <v>282</v>
      </c>
      <c r="G14">
        <v>749</v>
      </c>
      <c r="H14">
        <v>28</v>
      </c>
      <c r="I14">
        <v>21</v>
      </c>
      <c r="J14">
        <v>6</v>
      </c>
      <c r="K14" t="s">
        <v>204</v>
      </c>
      <c r="L14">
        <v>1</v>
      </c>
    </row>
    <row r="15" spans="1:18" x14ac:dyDescent="0.45">
      <c r="A15" t="s">
        <v>10</v>
      </c>
      <c r="B15" t="s">
        <v>11</v>
      </c>
      <c r="C15" t="s">
        <v>12</v>
      </c>
      <c r="D15">
        <v>13</v>
      </c>
      <c r="E15" t="s">
        <v>26</v>
      </c>
      <c r="F15">
        <v>294</v>
      </c>
      <c r="G15">
        <v>794</v>
      </c>
      <c r="H15">
        <v>21</v>
      </c>
      <c r="I15">
        <v>22</v>
      </c>
      <c r="J15">
        <v>7</v>
      </c>
      <c r="K15" t="s">
        <v>204</v>
      </c>
      <c r="L15">
        <v>1</v>
      </c>
      <c r="P15">
        <f>122/69</f>
        <v>1.7681159420289856</v>
      </c>
    </row>
    <row r="16" spans="1:18" x14ac:dyDescent="0.45">
      <c r="A16" t="s">
        <v>10</v>
      </c>
      <c r="B16" t="s">
        <v>11</v>
      </c>
      <c r="C16" t="s">
        <v>12</v>
      </c>
      <c r="D16">
        <v>14</v>
      </c>
      <c r="E16" t="s">
        <v>27</v>
      </c>
      <c r="F16">
        <v>488</v>
      </c>
      <c r="G16">
        <v>939</v>
      </c>
      <c r="H16">
        <v>23</v>
      </c>
      <c r="I16">
        <v>23</v>
      </c>
      <c r="J16">
        <v>7</v>
      </c>
      <c r="K16" t="s">
        <v>205</v>
      </c>
      <c r="L16">
        <v>1</v>
      </c>
    </row>
    <row r="17" spans="1:12" x14ac:dyDescent="0.45">
      <c r="A17" t="s">
        <v>10</v>
      </c>
      <c r="B17" t="s">
        <v>11</v>
      </c>
      <c r="C17" t="s">
        <v>12</v>
      </c>
      <c r="D17">
        <v>15</v>
      </c>
      <c r="E17" t="s">
        <v>28</v>
      </c>
      <c r="F17">
        <v>477</v>
      </c>
      <c r="G17">
        <v>1048</v>
      </c>
      <c r="H17">
        <v>15</v>
      </c>
      <c r="I17">
        <v>22</v>
      </c>
      <c r="J17">
        <v>9</v>
      </c>
      <c r="K17" t="s">
        <v>205</v>
      </c>
      <c r="L17">
        <v>1</v>
      </c>
    </row>
    <row r="18" spans="1:12" x14ac:dyDescent="0.45">
      <c r="A18" t="s">
        <v>10</v>
      </c>
      <c r="B18" t="s">
        <v>11</v>
      </c>
      <c r="C18" t="s">
        <v>12</v>
      </c>
      <c r="D18">
        <v>16</v>
      </c>
      <c r="E18" t="s">
        <v>29</v>
      </c>
      <c r="F18">
        <v>532</v>
      </c>
      <c r="G18">
        <v>1085</v>
      </c>
      <c r="H18">
        <v>20</v>
      </c>
      <c r="I18">
        <v>22</v>
      </c>
      <c r="J18">
        <v>9</v>
      </c>
      <c r="K18" t="s">
        <v>204</v>
      </c>
      <c r="L18">
        <v>1</v>
      </c>
    </row>
    <row r="19" spans="1:12" x14ac:dyDescent="0.45">
      <c r="A19" t="s">
        <v>10</v>
      </c>
      <c r="B19" t="s">
        <v>11</v>
      </c>
      <c r="C19" t="s">
        <v>12</v>
      </c>
      <c r="D19">
        <v>17</v>
      </c>
      <c r="E19" t="s">
        <v>30</v>
      </c>
      <c r="F19">
        <v>550</v>
      </c>
      <c r="G19">
        <v>1134</v>
      </c>
      <c r="H19">
        <v>21</v>
      </c>
      <c r="I19">
        <v>16</v>
      </c>
      <c r="J19">
        <v>14</v>
      </c>
      <c r="K19" t="s">
        <v>204</v>
      </c>
      <c r="L19">
        <v>1</v>
      </c>
    </row>
    <row r="20" spans="1:12" x14ac:dyDescent="0.45">
      <c r="A20" t="s">
        <v>10</v>
      </c>
      <c r="B20" t="s">
        <v>11</v>
      </c>
      <c r="C20" t="s">
        <v>12</v>
      </c>
      <c r="D20">
        <v>18</v>
      </c>
      <c r="E20" t="s">
        <v>31</v>
      </c>
      <c r="F20">
        <v>658</v>
      </c>
      <c r="G20">
        <v>1249</v>
      </c>
      <c r="H20">
        <v>22</v>
      </c>
      <c r="I20">
        <v>23</v>
      </c>
      <c r="J20">
        <v>12</v>
      </c>
      <c r="K20" t="s">
        <v>204</v>
      </c>
      <c r="L20">
        <v>1</v>
      </c>
    </row>
    <row r="21" spans="1:12" x14ac:dyDescent="0.45">
      <c r="A21" t="s">
        <v>10</v>
      </c>
      <c r="B21" t="s">
        <v>11</v>
      </c>
      <c r="C21" t="s">
        <v>12</v>
      </c>
      <c r="D21">
        <v>19</v>
      </c>
      <c r="E21" t="s">
        <v>32</v>
      </c>
      <c r="F21">
        <v>752</v>
      </c>
      <c r="G21">
        <v>908</v>
      </c>
      <c r="H21">
        <v>24</v>
      </c>
      <c r="I21">
        <v>30</v>
      </c>
      <c r="J21">
        <v>12</v>
      </c>
      <c r="K21" t="s">
        <v>204</v>
      </c>
      <c r="L21">
        <v>1</v>
      </c>
    </row>
    <row r="22" spans="1:12" x14ac:dyDescent="0.45">
      <c r="A22" t="s">
        <v>10</v>
      </c>
      <c r="B22" t="s">
        <v>11</v>
      </c>
      <c r="C22" t="s">
        <v>12</v>
      </c>
      <c r="D22">
        <v>20</v>
      </c>
      <c r="E22" t="s">
        <v>33</v>
      </c>
      <c r="F22">
        <v>823</v>
      </c>
      <c r="G22">
        <v>1015</v>
      </c>
      <c r="H22">
        <v>22</v>
      </c>
      <c r="I22">
        <v>29</v>
      </c>
      <c r="J22">
        <v>12</v>
      </c>
      <c r="K22" t="s">
        <v>204</v>
      </c>
      <c r="L22">
        <v>1</v>
      </c>
    </row>
    <row r="23" spans="1:12" x14ac:dyDescent="0.45">
      <c r="A23" t="s">
        <v>10</v>
      </c>
      <c r="B23" t="s">
        <v>11</v>
      </c>
      <c r="C23" t="s">
        <v>12</v>
      </c>
      <c r="D23">
        <v>21</v>
      </c>
      <c r="E23" t="s">
        <v>34</v>
      </c>
      <c r="F23">
        <v>645</v>
      </c>
      <c r="G23">
        <v>882</v>
      </c>
      <c r="H23">
        <v>21</v>
      </c>
      <c r="I23">
        <v>25</v>
      </c>
      <c r="J23">
        <v>14</v>
      </c>
      <c r="K23" t="s">
        <v>204</v>
      </c>
      <c r="L23">
        <v>1</v>
      </c>
    </row>
    <row r="24" spans="1:12" x14ac:dyDescent="0.45">
      <c r="A24" t="s">
        <v>10</v>
      </c>
      <c r="B24" t="s">
        <v>11</v>
      </c>
      <c r="C24" t="s">
        <v>12</v>
      </c>
      <c r="D24">
        <v>22</v>
      </c>
      <c r="E24" t="s">
        <v>35</v>
      </c>
      <c r="F24">
        <v>566</v>
      </c>
      <c r="G24">
        <v>618</v>
      </c>
      <c r="H24">
        <v>25</v>
      </c>
      <c r="I24">
        <v>20</v>
      </c>
      <c r="J24">
        <v>16</v>
      </c>
      <c r="K24" t="s">
        <v>204</v>
      </c>
      <c r="L24">
        <v>1</v>
      </c>
    </row>
    <row r="25" spans="1:12" x14ac:dyDescent="0.45">
      <c r="A25" t="s">
        <v>10</v>
      </c>
      <c r="B25" t="s">
        <v>11</v>
      </c>
      <c r="C25" t="s">
        <v>12</v>
      </c>
      <c r="D25">
        <v>23</v>
      </c>
      <c r="E25" t="s">
        <v>36</v>
      </c>
      <c r="F25">
        <v>789</v>
      </c>
      <c r="G25">
        <v>662</v>
      </c>
      <c r="H25">
        <v>23</v>
      </c>
      <c r="I25">
        <v>20</v>
      </c>
      <c r="J25">
        <v>2</v>
      </c>
      <c r="K25" t="s">
        <v>204</v>
      </c>
      <c r="L25">
        <v>1</v>
      </c>
    </row>
    <row r="26" spans="1:12" x14ac:dyDescent="0.45">
      <c r="A26" t="s">
        <v>10</v>
      </c>
      <c r="B26" t="s">
        <v>11</v>
      </c>
      <c r="C26" t="s">
        <v>12</v>
      </c>
      <c r="D26">
        <v>24</v>
      </c>
      <c r="E26" t="s">
        <v>37</v>
      </c>
      <c r="F26">
        <v>944</v>
      </c>
      <c r="G26">
        <v>814</v>
      </c>
      <c r="H26">
        <v>26</v>
      </c>
      <c r="I26">
        <v>26</v>
      </c>
      <c r="J26">
        <v>2</v>
      </c>
      <c r="K26" t="s">
        <v>205</v>
      </c>
      <c r="L26">
        <v>1</v>
      </c>
    </row>
    <row r="27" spans="1:12" x14ac:dyDescent="0.45">
      <c r="A27" t="s">
        <v>10</v>
      </c>
      <c r="B27" t="s">
        <v>11</v>
      </c>
      <c r="C27" t="s">
        <v>12</v>
      </c>
      <c r="D27">
        <v>25</v>
      </c>
      <c r="E27" t="s">
        <v>38</v>
      </c>
      <c r="F27">
        <v>725</v>
      </c>
      <c r="G27">
        <v>555</v>
      </c>
      <c r="H27">
        <v>18</v>
      </c>
      <c r="I27">
        <v>29</v>
      </c>
      <c r="J27">
        <v>4</v>
      </c>
      <c r="K27" t="s">
        <v>204</v>
      </c>
      <c r="L27">
        <v>1</v>
      </c>
    </row>
    <row r="28" spans="1:12" x14ac:dyDescent="0.45">
      <c r="A28" t="s">
        <v>10</v>
      </c>
      <c r="B28" t="s">
        <v>11</v>
      </c>
      <c r="C28" t="s">
        <v>12</v>
      </c>
      <c r="D28">
        <v>26</v>
      </c>
      <c r="E28" t="s">
        <v>39</v>
      </c>
      <c r="F28">
        <v>922</v>
      </c>
      <c r="G28">
        <v>574</v>
      </c>
      <c r="H28">
        <v>21</v>
      </c>
      <c r="I28">
        <v>30</v>
      </c>
      <c r="J28">
        <v>2</v>
      </c>
      <c r="K28" t="s">
        <v>205</v>
      </c>
      <c r="L28">
        <v>1</v>
      </c>
    </row>
    <row r="29" spans="1:12" x14ac:dyDescent="0.45">
      <c r="A29" t="s">
        <v>10</v>
      </c>
      <c r="B29" t="s">
        <v>11</v>
      </c>
      <c r="C29" t="s">
        <v>12</v>
      </c>
      <c r="D29">
        <v>27</v>
      </c>
      <c r="E29" t="s">
        <v>40</v>
      </c>
      <c r="F29">
        <v>1052</v>
      </c>
      <c r="G29">
        <v>751</v>
      </c>
      <c r="H29">
        <v>29</v>
      </c>
      <c r="I29">
        <v>27</v>
      </c>
      <c r="J29">
        <v>5</v>
      </c>
      <c r="K29" t="s">
        <v>205</v>
      </c>
      <c r="L29">
        <v>1</v>
      </c>
    </row>
    <row r="30" spans="1:12" x14ac:dyDescent="0.45">
      <c r="A30" t="s">
        <v>10</v>
      </c>
      <c r="B30" t="s">
        <v>11</v>
      </c>
      <c r="C30" t="s">
        <v>12</v>
      </c>
      <c r="D30">
        <v>28</v>
      </c>
      <c r="E30" t="s">
        <v>41</v>
      </c>
      <c r="F30">
        <v>1220</v>
      </c>
      <c r="G30">
        <v>821</v>
      </c>
      <c r="H30">
        <v>18</v>
      </c>
      <c r="I30">
        <v>24</v>
      </c>
      <c r="J30">
        <v>1</v>
      </c>
      <c r="K30" t="s">
        <v>205</v>
      </c>
      <c r="L30">
        <v>1</v>
      </c>
    </row>
    <row r="31" spans="1:12" x14ac:dyDescent="0.45">
      <c r="A31" t="s">
        <v>10</v>
      </c>
      <c r="B31" t="s">
        <v>11</v>
      </c>
      <c r="C31" t="s">
        <v>12</v>
      </c>
      <c r="D31">
        <v>29</v>
      </c>
      <c r="E31" t="s">
        <v>42</v>
      </c>
      <c r="F31">
        <v>1168</v>
      </c>
      <c r="G31">
        <v>709</v>
      </c>
      <c r="H31">
        <v>26</v>
      </c>
      <c r="I31">
        <v>30</v>
      </c>
      <c r="J31">
        <v>9</v>
      </c>
      <c r="K31" t="s">
        <v>204</v>
      </c>
      <c r="L31">
        <v>1</v>
      </c>
    </row>
    <row r="32" spans="1:12" x14ac:dyDescent="0.45">
      <c r="A32" t="s">
        <v>10</v>
      </c>
      <c r="B32" t="s">
        <v>11</v>
      </c>
      <c r="C32" t="s">
        <v>12</v>
      </c>
      <c r="D32">
        <v>30</v>
      </c>
      <c r="E32" t="s">
        <v>43</v>
      </c>
      <c r="F32">
        <v>940</v>
      </c>
      <c r="G32">
        <v>1007</v>
      </c>
      <c r="H32">
        <v>21</v>
      </c>
      <c r="I32">
        <v>25</v>
      </c>
      <c r="J32">
        <v>8</v>
      </c>
      <c r="K32" t="s">
        <v>204</v>
      </c>
      <c r="L32">
        <v>1</v>
      </c>
    </row>
    <row r="33" spans="1:12" x14ac:dyDescent="0.45">
      <c r="A33" t="s">
        <v>10</v>
      </c>
      <c r="B33" t="s">
        <v>11</v>
      </c>
      <c r="C33" t="s">
        <v>12</v>
      </c>
      <c r="D33">
        <v>31</v>
      </c>
      <c r="E33" t="s">
        <v>44</v>
      </c>
      <c r="F33">
        <v>1010</v>
      </c>
      <c r="G33">
        <v>955</v>
      </c>
      <c r="H33">
        <v>29</v>
      </c>
      <c r="I33">
        <v>22</v>
      </c>
      <c r="J33">
        <v>8</v>
      </c>
      <c r="K33" t="s">
        <v>204</v>
      </c>
      <c r="L33">
        <v>1</v>
      </c>
    </row>
    <row r="34" spans="1:12" x14ac:dyDescent="0.45">
      <c r="A34" t="s">
        <v>10</v>
      </c>
      <c r="B34" t="s">
        <v>11</v>
      </c>
      <c r="C34" t="s">
        <v>12</v>
      </c>
      <c r="D34">
        <v>32</v>
      </c>
      <c r="E34" t="s">
        <v>45</v>
      </c>
      <c r="F34">
        <v>1261</v>
      </c>
      <c r="G34">
        <v>416</v>
      </c>
      <c r="H34">
        <v>20</v>
      </c>
      <c r="I34">
        <v>31</v>
      </c>
      <c r="J34">
        <v>11</v>
      </c>
      <c r="K34" t="s">
        <v>204</v>
      </c>
      <c r="L34">
        <v>1</v>
      </c>
    </row>
    <row r="35" spans="1:12" x14ac:dyDescent="0.45">
      <c r="A35" t="s">
        <v>10</v>
      </c>
      <c r="B35" t="s">
        <v>11</v>
      </c>
      <c r="C35" t="s">
        <v>12</v>
      </c>
      <c r="D35">
        <v>33</v>
      </c>
      <c r="E35" t="s">
        <v>46</v>
      </c>
      <c r="F35">
        <v>1248</v>
      </c>
      <c r="G35">
        <v>347</v>
      </c>
      <c r="H35">
        <v>22</v>
      </c>
      <c r="I35">
        <v>28</v>
      </c>
      <c r="J35">
        <v>13</v>
      </c>
      <c r="K35" t="s">
        <v>204</v>
      </c>
      <c r="L35">
        <v>1</v>
      </c>
    </row>
    <row r="36" spans="1:12" x14ac:dyDescent="0.45">
      <c r="A36" t="s">
        <v>10</v>
      </c>
      <c r="B36" t="s">
        <v>11</v>
      </c>
      <c r="C36" t="s">
        <v>12</v>
      </c>
      <c r="D36">
        <v>34</v>
      </c>
      <c r="E36" t="s">
        <v>47</v>
      </c>
      <c r="F36">
        <v>1250</v>
      </c>
      <c r="G36">
        <v>65</v>
      </c>
      <c r="H36">
        <v>23</v>
      </c>
      <c r="I36">
        <v>28</v>
      </c>
      <c r="J36">
        <v>20</v>
      </c>
      <c r="K36" t="s">
        <v>205</v>
      </c>
      <c r="L36">
        <v>1</v>
      </c>
    </row>
    <row r="37" spans="1:12" x14ac:dyDescent="0.45">
      <c r="A37" t="s">
        <v>10</v>
      </c>
      <c r="B37" t="s">
        <v>11</v>
      </c>
      <c r="C37" t="s">
        <v>12</v>
      </c>
      <c r="D37">
        <v>35</v>
      </c>
      <c r="E37" t="s">
        <v>48</v>
      </c>
      <c r="F37">
        <v>874</v>
      </c>
      <c r="G37">
        <v>312</v>
      </c>
      <c r="H37">
        <v>29</v>
      </c>
      <c r="I37">
        <v>36</v>
      </c>
      <c r="J37">
        <v>18</v>
      </c>
      <c r="K37" t="s">
        <v>205</v>
      </c>
      <c r="L37">
        <v>1</v>
      </c>
    </row>
    <row r="38" spans="1:12" x14ac:dyDescent="0.45">
      <c r="A38" t="s">
        <v>10</v>
      </c>
      <c r="B38" t="s">
        <v>11</v>
      </c>
      <c r="C38" t="s">
        <v>12</v>
      </c>
      <c r="D38">
        <v>36</v>
      </c>
      <c r="E38" t="s">
        <v>49</v>
      </c>
      <c r="F38">
        <v>798</v>
      </c>
      <c r="G38">
        <v>331</v>
      </c>
      <c r="H38">
        <v>23</v>
      </c>
      <c r="I38">
        <v>16</v>
      </c>
      <c r="J38">
        <v>23</v>
      </c>
      <c r="K38" t="s">
        <v>204</v>
      </c>
      <c r="L38">
        <v>1</v>
      </c>
    </row>
    <row r="39" spans="1:12" x14ac:dyDescent="0.45">
      <c r="A39" t="s">
        <v>10</v>
      </c>
      <c r="B39" t="s">
        <v>11</v>
      </c>
      <c r="C39" t="s">
        <v>12</v>
      </c>
      <c r="D39">
        <v>37</v>
      </c>
      <c r="E39" t="s">
        <v>50</v>
      </c>
      <c r="F39">
        <v>793</v>
      </c>
      <c r="G39">
        <v>360</v>
      </c>
      <c r="H39">
        <v>20</v>
      </c>
      <c r="I39">
        <v>24</v>
      </c>
      <c r="J39">
        <v>20</v>
      </c>
      <c r="K39" t="s">
        <v>204</v>
      </c>
      <c r="L39">
        <v>1</v>
      </c>
    </row>
    <row r="40" spans="1:12" x14ac:dyDescent="0.45">
      <c r="A40" t="s">
        <v>51</v>
      </c>
      <c r="B40" t="s">
        <v>11</v>
      </c>
      <c r="C40" t="s">
        <v>52</v>
      </c>
      <c r="D40">
        <v>0</v>
      </c>
      <c r="E40" t="s">
        <v>53</v>
      </c>
      <c r="F40">
        <v>428</v>
      </c>
      <c r="G40">
        <v>120</v>
      </c>
      <c r="H40">
        <v>25</v>
      </c>
      <c r="I40">
        <v>30</v>
      </c>
      <c r="J40">
        <v>10</v>
      </c>
      <c r="K40" t="s">
        <v>204</v>
      </c>
      <c r="L40">
        <v>1</v>
      </c>
    </row>
    <row r="41" spans="1:12" x14ac:dyDescent="0.45">
      <c r="A41" t="s">
        <v>51</v>
      </c>
      <c r="B41" t="s">
        <v>11</v>
      </c>
      <c r="C41" t="s">
        <v>52</v>
      </c>
      <c r="D41">
        <v>1</v>
      </c>
      <c r="E41" t="s">
        <v>54</v>
      </c>
      <c r="F41">
        <v>566</v>
      </c>
      <c r="G41">
        <v>301</v>
      </c>
      <c r="H41">
        <v>15</v>
      </c>
      <c r="I41">
        <v>18</v>
      </c>
      <c r="J41">
        <v>7</v>
      </c>
      <c r="K41" t="s">
        <v>204</v>
      </c>
      <c r="L41">
        <v>1</v>
      </c>
    </row>
    <row r="42" spans="1:12" x14ac:dyDescent="0.45">
      <c r="A42" t="s">
        <v>51</v>
      </c>
      <c r="B42" t="s">
        <v>11</v>
      </c>
      <c r="C42" t="s">
        <v>52</v>
      </c>
      <c r="D42">
        <v>2</v>
      </c>
      <c r="E42" t="s">
        <v>55</v>
      </c>
      <c r="F42">
        <v>505</v>
      </c>
      <c r="G42">
        <v>342</v>
      </c>
      <c r="H42">
        <v>23</v>
      </c>
      <c r="I42">
        <v>20</v>
      </c>
      <c r="J42">
        <v>8</v>
      </c>
      <c r="K42" t="s">
        <v>205</v>
      </c>
      <c r="L42">
        <v>1</v>
      </c>
    </row>
    <row r="43" spans="1:12" x14ac:dyDescent="0.45">
      <c r="A43" t="s">
        <v>51</v>
      </c>
      <c r="B43" t="s">
        <v>11</v>
      </c>
      <c r="C43" t="s">
        <v>52</v>
      </c>
      <c r="D43">
        <v>3</v>
      </c>
      <c r="E43" t="s">
        <v>56</v>
      </c>
      <c r="F43">
        <v>477</v>
      </c>
      <c r="G43">
        <v>379</v>
      </c>
      <c r="H43">
        <v>19</v>
      </c>
      <c r="I43">
        <v>21</v>
      </c>
      <c r="J43">
        <v>10</v>
      </c>
      <c r="K43" t="s">
        <v>204</v>
      </c>
      <c r="L43">
        <v>1</v>
      </c>
    </row>
    <row r="44" spans="1:12" x14ac:dyDescent="0.45">
      <c r="A44" t="s">
        <v>51</v>
      </c>
      <c r="B44" t="s">
        <v>11</v>
      </c>
      <c r="C44" t="s">
        <v>52</v>
      </c>
      <c r="D44">
        <v>4</v>
      </c>
      <c r="E44" t="s">
        <v>57</v>
      </c>
      <c r="F44">
        <v>583</v>
      </c>
      <c r="G44">
        <v>231</v>
      </c>
      <c r="H44">
        <v>21</v>
      </c>
      <c r="I44">
        <v>22</v>
      </c>
      <c r="J44">
        <v>10</v>
      </c>
      <c r="K44" t="s">
        <v>204</v>
      </c>
      <c r="L44">
        <v>1</v>
      </c>
    </row>
    <row r="45" spans="1:12" x14ac:dyDescent="0.45">
      <c r="A45" t="s">
        <v>51</v>
      </c>
      <c r="B45" t="s">
        <v>11</v>
      </c>
      <c r="C45" t="s">
        <v>52</v>
      </c>
      <c r="D45">
        <v>5</v>
      </c>
      <c r="E45" t="s">
        <v>58</v>
      </c>
      <c r="F45">
        <v>566</v>
      </c>
      <c r="G45">
        <v>183</v>
      </c>
      <c r="H45">
        <v>20</v>
      </c>
      <c r="I45">
        <v>20</v>
      </c>
      <c r="J45">
        <v>12</v>
      </c>
      <c r="K45" t="s">
        <v>204</v>
      </c>
      <c r="L45">
        <v>1</v>
      </c>
    </row>
    <row r="46" spans="1:12" x14ac:dyDescent="0.45">
      <c r="A46" t="s">
        <v>51</v>
      </c>
      <c r="B46" t="s">
        <v>11</v>
      </c>
      <c r="C46" t="s">
        <v>52</v>
      </c>
      <c r="D46">
        <v>6</v>
      </c>
      <c r="E46" t="s">
        <v>59</v>
      </c>
      <c r="F46">
        <v>747</v>
      </c>
      <c r="G46">
        <v>380</v>
      </c>
      <c r="H46">
        <v>16</v>
      </c>
      <c r="I46">
        <v>22</v>
      </c>
      <c r="J46">
        <v>14</v>
      </c>
      <c r="K46" t="s">
        <v>204</v>
      </c>
      <c r="L46">
        <v>1</v>
      </c>
    </row>
    <row r="47" spans="1:12" x14ac:dyDescent="0.45">
      <c r="A47" t="s">
        <v>51</v>
      </c>
      <c r="B47" t="s">
        <v>11</v>
      </c>
      <c r="C47" t="s">
        <v>52</v>
      </c>
      <c r="D47">
        <v>7</v>
      </c>
      <c r="E47" t="s">
        <v>60</v>
      </c>
      <c r="F47">
        <v>580</v>
      </c>
      <c r="G47">
        <v>519</v>
      </c>
      <c r="H47">
        <v>25</v>
      </c>
      <c r="I47">
        <v>23</v>
      </c>
      <c r="J47">
        <v>14</v>
      </c>
      <c r="K47" t="s">
        <v>204</v>
      </c>
      <c r="L47">
        <v>1</v>
      </c>
    </row>
    <row r="48" spans="1:12" x14ac:dyDescent="0.45">
      <c r="A48" t="s">
        <v>51</v>
      </c>
      <c r="B48" t="s">
        <v>11</v>
      </c>
      <c r="C48" t="s">
        <v>52</v>
      </c>
      <c r="D48">
        <v>8</v>
      </c>
      <c r="E48" t="s">
        <v>61</v>
      </c>
      <c r="F48">
        <v>669</v>
      </c>
      <c r="G48">
        <v>554</v>
      </c>
      <c r="H48">
        <v>30</v>
      </c>
      <c r="I48">
        <v>31</v>
      </c>
      <c r="J48">
        <v>14</v>
      </c>
      <c r="K48" t="s">
        <v>204</v>
      </c>
      <c r="L48">
        <v>1</v>
      </c>
    </row>
    <row r="49" spans="1:12" x14ac:dyDescent="0.45">
      <c r="A49" t="s">
        <v>51</v>
      </c>
      <c r="B49" t="s">
        <v>11</v>
      </c>
      <c r="C49" t="s">
        <v>52</v>
      </c>
      <c r="D49">
        <v>9</v>
      </c>
      <c r="E49" t="s">
        <v>62</v>
      </c>
      <c r="F49">
        <v>516</v>
      </c>
      <c r="G49">
        <v>486</v>
      </c>
      <c r="H49">
        <v>21</v>
      </c>
      <c r="I49">
        <v>24</v>
      </c>
      <c r="J49">
        <v>15</v>
      </c>
      <c r="K49" t="s">
        <v>205</v>
      </c>
      <c r="L49">
        <v>1</v>
      </c>
    </row>
    <row r="50" spans="1:12" x14ac:dyDescent="0.45">
      <c r="A50" t="s">
        <v>51</v>
      </c>
      <c r="B50" t="s">
        <v>11</v>
      </c>
      <c r="C50" t="s">
        <v>52</v>
      </c>
      <c r="D50">
        <v>10</v>
      </c>
      <c r="E50" t="s">
        <v>63</v>
      </c>
      <c r="F50">
        <v>296</v>
      </c>
      <c r="G50">
        <v>755</v>
      </c>
      <c r="H50">
        <v>25</v>
      </c>
      <c r="I50">
        <v>21</v>
      </c>
      <c r="J50">
        <v>3</v>
      </c>
      <c r="K50" t="s">
        <v>204</v>
      </c>
      <c r="L50">
        <v>1</v>
      </c>
    </row>
    <row r="51" spans="1:12" x14ac:dyDescent="0.45">
      <c r="A51" t="s">
        <v>51</v>
      </c>
      <c r="B51" t="s">
        <v>11</v>
      </c>
      <c r="C51" t="s">
        <v>52</v>
      </c>
      <c r="D51">
        <v>11</v>
      </c>
      <c r="E51" t="s">
        <v>64</v>
      </c>
      <c r="F51">
        <v>429</v>
      </c>
      <c r="G51">
        <v>695</v>
      </c>
      <c r="H51">
        <v>24</v>
      </c>
      <c r="I51">
        <v>21</v>
      </c>
      <c r="J51">
        <v>5</v>
      </c>
      <c r="K51" t="s">
        <v>204</v>
      </c>
      <c r="L51">
        <v>1</v>
      </c>
    </row>
    <row r="52" spans="1:12" x14ac:dyDescent="0.45">
      <c r="A52" t="s">
        <v>51</v>
      </c>
      <c r="B52" t="s">
        <v>11</v>
      </c>
      <c r="C52" t="s">
        <v>52</v>
      </c>
      <c r="D52">
        <v>12</v>
      </c>
      <c r="E52" t="s">
        <v>65</v>
      </c>
      <c r="F52">
        <v>480</v>
      </c>
      <c r="G52">
        <v>702</v>
      </c>
      <c r="H52">
        <v>10</v>
      </c>
      <c r="I52">
        <v>14</v>
      </c>
      <c r="J52">
        <v>5</v>
      </c>
      <c r="K52" t="s">
        <v>205</v>
      </c>
      <c r="L52">
        <v>1</v>
      </c>
    </row>
    <row r="53" spans="1:12" x14ac:dyDescent="0.45">
      <c r="A53" t="s">
        <v>51</v>
      </c>
      <c r="B53" t="s">
        <v>11</v>
      </c>
      <c r="C53" t="s">
        <v>52</v>
      </c>
      <c r="D53">
        <v>13</v>
      </c>
      <c r="E53" t="s">
        <v>66</v>
      </c>
      <c r="F53">
        <v>529</v>
      </c>
      <c r="G53">
        <v>718</v>
      </c>
      <c r="H53">
        <v>16</v>
      </c>
      <c r="I53">
        <v>20</v>
      </c>
      <c r="J53">
        <v>5</v>
      </c>
      <c r="K53" t="s">
        <v>204</v>
      </c>
      <c r="L53">
        <v>1</v>
      </c>
    </row>
    <row r="54" spans="1:12" x14ac:dyDescent="0.45">
      <c r="A54" t="s">
        <v>51</v>
      </c>
      <c r="B54" t="s">
        <v>11</v>
      </c>
      <c r="C54" t="s">
        <v>52</v>
      </c>
      <c r="D54">
        <v>14</v>
      </c>
      <c r="E54" t="s">
        <v>67</v>
      </c>
      <c r="F54">
        <v>475</v>
      </c>
      <c r="G54">
        <v>911</v>
      </c>
      <c r="H54">
        <v>29</v>
      </c>
      <c r="I54">
        <v>20</v>
      </c>
      <c r="J54">
        <v>6</v>
      </c>
      <c r="K54" t="s">
        <v>205</v>
      </c>
      <c r="L54">
        <v>1</v>
      </c>
    </row>
    <row r="55" spans="1:12" x14ac:dyDescent="0.45">
      <c r="A55" t="s">
        <v>51</v>
      </c>
      <c r="B55" t="s">
        <v>11</v>
      </c>
      <c r="C55" t="s">
        <v>52</v>
      </c>
      <c r="D55">
        <v>15</v>
      </c>
      <c r="E55" t="s">
        <v>68</v>
      </c>
      <c r="F55">
        <v>519</v>
      </c>
      <c r="G55">
        <v>948</v>
      </c>
      <c r="H55">
        <v>22</v>
      </c>
      <c r="I55">
        <v>22</v>
      </c>
      <c r="J55">
        <v>6</v>
      </c>
      <c r="K55" t="s">
        <v>204</v>
      </c>
      <c r="L55">
        <v>1</v>
      </c>
    </row>
    <row r="56" spans="1:12" x14ac:dyDescent="0.45">
      <c r="A56" t="s">
        <v>51</v>
      </c>
      <c r="B56" t="s">
        <v>11</v>
      </c>
      <c r="C56" t="s">
        <v>52</v>
      </c>
      <c r="D56">
        <v>16</v>
      </c>
      <c r="E56" t="s">
        <v>69</v>
      </c>
      <c r="F56">
        <v>709</v>
      </c>
      <c r="G56">
        <v>744</v>
      </c>
      <c r="H56">
        <v>20</v>
      </c>
      <c r="I56">
        <v>21</v>
      </c>
      <c r="J56">
        <v>2</v>
      </c>
      <c r="K56" t="s">
        <v>204</v>
      </c>
      <c r="L56">
        <v>1</v>
      </c>
    </row>
    <row r="57" spans="1:12" x14ac:dyDescent="0.45">
      <c r="A57" t="s">
        <v>51</v>
      </c>
      <c r="B57" t="s">
        <v>11</v>
      </c>
      <c r="C57" t="s">
        <v>52</v>
      </c>
      <c r="D57">
        <v>17</v>
      </c>
      <c r="E57" t="s">
        <v>70</v>
      </c>
      <c r="F57">
        <v>790</v>
      </c>
      <c r="G57">
        <v>515</v>
      </c>
      <c r="H57">
        <v>29</v>
      </c>
      <c r="I57">
        <v>24</v>
      </c>
      <c r="J57">
        <v>3</v>
      </c>
      <c r="K57" t="s">
        <v>205</v>
      </c>
      <c r="L57">
        <v>1</v>
      </c>
    </row>
    <row r="58" spans="1:12" x14ac:dyDescent="0.45">
      <c r="A58" t="s">
        <v>51</v>
      </c>
      <c r="B58" t="s">
        <v>11</v>
      </c>
      <c r="C58" t="s">
        <v>52</v>
      </c>
      <c r="D58">
        <v>18</v>
      </c>
      <c r="E58" t="s">
        <v>71</v>
      </c>
      <c r="F58">
        <v>934</v>
      </c>
      <c r="G58">
        <v>495</v>
      </c>
      <c r="H58">
        <v>19</v>
      </c>
      <c r="I58">
        <v>23</v>
      </c>
      <c r="J58">
        <v>3</v>
      </c>
      <c r="K58" t="s">
        <v>205</v>
      </c>
      <c r="L58">
        <v>1</v>
      </c>
    </row>
    <row r="59" spans="1:12" x14ac:dyDescent="0.45">
      <c r="A59" t="s">
        <v>51</v>
      </c>
      <c r="B59" t="s">
        <v>11</v>
      </c>
      <c r="C59" t="s">
        <v>52</v>
      </c>
      <c r="D59">
        <v>19</v>
      </c>
      <c r="E59" t="s">
        <v>72</v>
      </c>
      <c r="F59">
        <v>927</v>
      </c>
      <c r="G59">
        <v>475</v>
      </c>
      <c r="H59">
        <v>20</v>
      </c>
      <c r="I59">
        <v>17</v>
      </c>
      <c r="J59">
        <v>3</v>
      </c>
      <c r="K59" t="s">
        <v>205</v>
      </c>
      <c r="L59">
        <v>1</v>
      </c>
    </row>
    <row r="60" spans="1:12" x14ac:dyDescent="0.45">
      <c r="A60" t="s">
        <v>51</v>
      </c>
      <c r="B60" t="s">
        <v>11</v>
      </c>
      <c r="C60" t="s">
        <v>52</v>
      </c>
      <c r="D60">
        <v>20</v>
      </c>
      <c r="E60" t="s">
        <v>73</v>
      </c>
      <c r="F60">
        <v>1137</v>
      </c>
      <c r="G60">
        <v>481</v>
      </c>
      <c r="H60">
        <v>14</v>
      </c>
      <c r="I60">
        <v>17</v>
      </c>
      <c r="J60">
        <v>1</v>
      </c>
      <c r="K60" t="s">
        <v>204</v>
      </c>
      <c r="L60">
        <v>1</v>
      </c>
    </row>
    <row r="61" spans="1:12" x14ac:dyDescent="0.45">
      <c r="A61" t="s">
        <v>51</v>
      </c>
      <c r="B61" t="s">
        <v>11</v>
      </c>
      <c r="C61" t="s">
        <v>52</v>
      </c>
      <c r="D61">
        <v>21</v>
      </c>
      <c r="E61" t="s">
        <v>74</v>
      </c>
      <c r="F61">
        <v>1041</v>
      </c>
      <c r="G61">
        <v>928</v>
      </c>
      <c r="H61">
        <v>16</v>
      </c>
      <c r="I61">
        <v>19</v>
      </c>
      <c r="J61">
        <v>1</v>
      </c>
      <c r="K61" t="s">
        <v>204</v>
      </c>
      <c r="L61">
        <v>1</v>
      </c>
    </row>
    <row r="62" spans="1:12" x14ac:dyDescent="0.45">
      <c r="A62" t="s">
        <v>51</v>
      </c>
      <c r="B62" t="s">
        <v>11</v>
      </c>
      <c r="C62" t="s">
        <v>52</v>
      </c>
      <c r="D62">
        <v>22</v>
      </c>
      <c r="E62" t="s">
        <v>75</v>
      </c>
      <c r="F62">
        <v>1352</v>
      </c>
      <c r="G62">
        <v>941</v>
      </c>
      <c r="H62">
        <v>13</v>
      </c>
      <c r="I62">
        <v>14</v>
      </c>
      <c r="J62">
        <v>1</v>
      </c>
      <c r="K62" t="s">
        <v>204</v>
      </c>
      <c r="L62">
        <v>1</v>
      </c>
    </row>
    <row r="63" spans="1:12" x14ac:dyDescent="0.45">
      <c r="A63" t="s">
        <v>51</v>
      </c>
      <c r="B63" t="s">
        <v>11</v>
      </c>
      <c r="C63" t="s">
        <v>52</v>
      </c>
      <c r="D63">
        <v>23</v>
      </c>
      <c r="E63" t="s">
        <v>76</v>
      </c>
      <c r="F63">
        <v>1353</v>
      </c>
      <c r="G63">
        <v>510</v>
      </c>
      <c r="H63">
        <v>18</v>
      </c>
      <c r="I63">
        <v>32</v>
      </c>
      <c r="J63">
        <v>1</v>
      </c>
      <c r="K63" t="s">
        <v>204</v>
      </c>
      <c r="L63">
        <v>1</v>
      </c>
    </row>
    <row r="64" spans="1:12" x14ac:dyDescent="0.45">
      <c r="A64" t="s">
        <v>51</v>
      </c>
      <c r="B64" t="s">
        <v>11</v>
      </c>
      <c r="C64" t="s">
        <v>52</v>
      </c>
      <c r="D64">
        <v>24</v>
      </c>
      <c r="E64" t="s">
        <v>77</v>
      </c>
      <c r="F64">
        <v>649</v>
      </c>
      <c r="G64">
        <v>249</v>
      </c>
      <c r="H64">
        <v>18</v>
      </c>
      <c r="I64">
        <v>21</v>
      </c>
      <c r="J64">
        <v>1</v>
      </c>
      <c r="K64" t="s">
        <v>204</v>
      </c>
      <c r="L64">
        <v>1</v>
      </c>
    </row>
    <row r="65" spans="1:12" x14ac:dyDescent="0.45">
      <c r="A65" t="s">
        <v>51</v>
      </c>
      <c r="B65" t="s">
        <v>11</v>
      </c>
      <c r="C65" t="s">
        <v>52</v>
      </c>
      <c r="D65">
        <v>25</v>
      </c>
      <c r="E65" t="s">
        <v>78</v>
      </c>
      <c r="F65">
        <v>934</v>
      </c>
      <c r="G65">
        <v>391</v>
      </c>
      <c r="H65">
        <v>14</v>
      </c>
      <c r="I65">
        <v>21</v>
      </c>
      <c r="J65">
        <v>2</v>
      </c>
      <c r="K65" t="s">
        <v>204</v>
      </c>
      <c r="L65">
        <v>1</v>
      </c>
    </row>
    <row r="66" spans="1:12" x14ac:dyDescent="0.45">
      <c r="A66" t="s">
        <v>51</v>
      </c>
      <c r="B66" t="s">
        <v>11</v>
      </c>
      <c r="C66" t="s">
        <v>52</v>
      </c>
      <c r="D66">
        <v>26</v>
      </c>
      <c r="E66" t="s">
        <v>79</v>
      </c>
      <c r="F66">
        <v>916</v>
      </c>
      <c r="G66">
        <v>249</v>
      </c>
      <c r="H66">
        <v>26</v>
      </c>
      <c r="I66">
        <v>17</v>
      </c>
      <c r="J66">
        <v>10</v>
      </c>
      <c r="K66" t="s">
        <v>205</v>
      </c>
      <c r="L66">
        <v>1</v>
      </c>
    </row>
    <row r="67" spans="1:12" x14ac:dyDescent="0.45">
      <c r="A67" t="s">
        <v>51</v>
      </c>
      <c r="B67" t="s">
        <v>11</v>
      </c>
      <c r="C67" t="s">
        <v>52</v>
      </c>
      <c r="D67">
        <v>27</v>
      </c>
      <c r="E67" t="s">
        <v>80</v>
      </c>
      <c r="F67">
        <v>892</v>
      </c>
      <c r="G67">
        <v>142</v>
      </c>
      <c r="H67">
        <v>23</v>
      </c>
      <c r="I67">
        <v>29</v>
      </c>
      <c r="J67">
        <v>8</v>
      </c>
      <c r="K67" t="s">
        <v>204</v>
      </c>
      <c r="L67">
        <v>1</v>
      </c>
    </row>
    <row r="68" spans="1:12" x14ac:dyDescent="0.45">
      <c r="A68" t="s">
        <v>51</v>
      </c>
      <c r="B68" t="s">
        <v>11</v>
      </c>
      <c r="C68" t="s">
        <v>52</v>
      </c>
      <c r="D68">
        <v>28</v>
      </c>
      <c r="E68" t="s">
        <v>81</v>
      </c>
      <c r="F68">
        <v>1126</v>
      </c>
      <c r="G68">
        <v>615</v>
      </c>
      <c r="H68">
        <v>18</v>
      </c>
      <c r="I68">
        <v>22</v>
      </c>
      <c r="J68">
        <v>8</v>
      </c>
      <c r="K68" t="s">
        <v>204</v>
      </c>
      <c r="L68">
        <v>1</v>
      </c>
    </row>
    <row r="69" spans="1:12" x14ac:dyDescent="0.45">
      <c r="A69" t="s">
        <v>51</v>
      </c>
      <c r="B69" t="s">
        <v>11</v>
      </c>
      <c r="C69" t="s">
        <v>52</v>
      </c>
      <c r="D69">
        <v>29</v>
      </c>
      <c r="E69" t="s">
        <v>82</v>
      </c>
      <c r="F69">
        <v>1253</v>
      </c>
      <c r="G69">
        <v>596</v>
      </c>
      <c r="H69">
        <v>18</v>
      </c>
      <c r="I69">
        <v>28</v>
      </c>
      <c r="J69">
        <v>8</v>
      </c>
      <c r="K69" t="s">
        <v>205</v>
      </c>
      <c r="L69">
        <v>1</v>
      </c>
    </row>
    <row r="70" spans="1:12" x14ac:dyDescent="0.45">
      <c r="A70" t="s">
        <v>51</v>
      </c>
      <c r="B70" t="s">
        <v>11</v>
      </c>
      <c r="C70" t="s">
        <v>52</v>
      </c>
      <c r="D70">
        <v>30</v>
      </c>
      <c r="E70" t="s">
        <v>83</v>
      </c>
      <c r="F70">
        <v>1274</v>
      </c>
      <c r="G70">
        <v>648</v>
      </c>
      <c r="H70">
        <v>22</v>
      </c>
      <c r="I70">
        <v>21</v>
      </c>
      <c r="J70">
        <v>8</v>
      </c>
      <c r="K70" t="s">
        <v>205</v>
      </c>
      <c r="L70">
        <v>1</v>
      </c>
    </row>
    <row r="71" spans="1:12" x14ac:dyDescent="0.45">
      <c r="A71" t="s">
        <v>51</v>
      </c>
      <c r="B71" t="s">
        <v>11</v>
      </c>
      <c r="C71" t="s">
        <v>52</v>
      </c>
      <c r="D71">
        <v>31</v>
      </c>
      <c r="E71" t="s">
        <v>84</v>
      </c>
      <c r="F71">
        <v>762</v>
      </c>
      <c r="G71">
        <v>674</v>
      </c>
      <c r="H71">
        <v>23</v>
      </c>
      <c r="I71">
        <v>19</v>
      </c>
      <c r="J71">
        <v>7</v>
      </c>
      <c r="K71" t="s">
        <v>205</v>
      </c>
      <c r="L71">
        <v>1</v>
      </c>
    </row>
    <row r="72" spans="1:12" x14ac:dyDescent="0.45">
      <c r="A72" t="s">
        <v>51</v>
      </c>
      <c r="B72" t="s">
        <v>11</v>
      </c>
      <c r="C72" t="s">
        <v>52</v>
      </c>
      <c r="D72">
        <v>32</v>
      </c>
      <c r="E72" t="s">
        <v>85</v>
      </c>
      <c r="F72">
        <v>1015</v>
      </c>
      <c r="G72">
        <v>686</v>
      </c>
      <c r="H72">
        <v>21</v>
      </c>
      <c r="I72">
        <v>17</v>
      </c>
      <c r="J72">
        <v>10</v>
      </c>
      <c r="K72" t="s">
        <v>205</v>
      </c>
      <c r="L72">
        <v>1</v>
      </c>
    </row>
    <row r="73" spans="1:12" x14ac:dyDescent="0.45">
      <c r="A73" t="s">
        <v>51</v>
      </c>
      <c r="B73" t="s">
        <v>11</v>
      </c>
      <c r="C73" t="s">
        <v>52</v>
      </c>
      <c r="D73">
        <v>33</v>
      </c>
      <c r="E73" t="s">
        <v>86</v>
      </c>
      <c r="F73">
        <v>1050</v>
      </c>
      <c r="G73">
        <v>621</v>
      </c>
      <c r="H73">
        <v>21</v>
      </c>
      <c r="I73">
        <v>31</v>
      </c>
      <c r="J73">
        <v>10</v>
      </c>
      <c r="K73" t="s">
        <v>204</v>
      </c>
      <c r="L73">
        <v>1</v>
      </c>
    </row>
    <row r="74" spans="1:12" x14ac:dyDescent="0.45">
      <c r="A74" t="s">
        <v>51</v>
      </c>
      <c r="B74" t="s">
        <v>11</v>
      </c>
      <c r="C74" t="s">
        <v>52</v>
      </c>
      <c r="D74">
        <v>34</v>
      </c>
      <c r="E74" t="s">
        <v>87</v>
      </c>
      <c r="F74">
        <v>1174</v>
      </c>
      <c r="G74">
        <v>791</v>
      </c>
      <c r="H74">
        <v>15</v>
      </c>
      <c r="I74">
        <v>22</v>
      </c>
      <c r="J74">
        <v>10</v>
      </c>
      <c r="K74" t="s">
        <v>204</v>
      </c>
      <c r="L74">
        <v>1</v>
      </c>
    </row>
    <row r="75" spans="1:12" x14ac:dyDescent="0.45">
      <c r="A75" t="s">
        <v>51</v>
      </c>
      <c r="B75" t="s">
        <v>11</v>
      </c>
      <c r="C75" t="s">
        <v>52</v>
      </c>
      <c r="D75">
        <v>35</v>
      </c>
      <c r="E75" t="s">
        <v>88</v>
      </c>
      <c r="F75">
        <v>1377</v>
      </c>
      <c r="G75">
        <v>755</v>
      </c>
      <c r="H75">
        <v>24</v>
      </c>
      <c r="I75">
        <v>26</v>
      </c>
      <c r="J75">
        <v>9</v>
      </c>
      <c r="K75" t="s">
        <v>204</v>
      </c>
      <c r="L75">
        <v>1</v>
      </c>
    </row>
    <row r="76" spans="1:12" x14ac:dyDescent="0.45">
      <c r="A76" t="s">
        <v>89</v>
      </c>
      <c r="B76" t="s">
        <v>11</v>
      </c>
      <c r="C76" t="s">
        <v>90</v>
      </c>
      <c r="D76">
        <v>0</v>
      </c>
      <c r="E76" t="s">
        <v>91</v>
      </c>
      <c r="F76">
        <v>378</v>
      </c>
      <c r="G76">
        <v>314</v>
      </c>
      <c r="H76">
        <v>22</v>
      </c>
      <c r="I76">
        <v>21</v>
      </c>
      <c r="J76">
        <v>2</v>
      </c>
      <c r="K76" t="s">
        <v>204</v>
      </c>
      <c r="L76">
        <v>1</v>
      </c>
    </row>
    <row r="77" spans="1:12" x14ac:dyDescent="0.45">
      <c r="A77" t="s">
        <v>89</v>
      </c>
      <c r="B77" t="s">
        <v>11</v>
      </c>
      <c r="C77" t="s">
        <v>90</v>
      </c>
      <c r="D77">
        <v>1</v>
      </c>
      <c r="E77" t="s">
        <v>92</v>
      </c>
      <c r="F77">
        <v>562</v>
      </c>
      <c r="G77">
        <v>276</v>
      </c>
      <c r="H77">
        <v>17</v>
      </c>
      <c r="I77">
        <v>23</v>
      </c>
      <c r="J77">
        <v>2</v>
      </c>
      <c r="K77" t="s">
        <v>204</v>
      </c>
      <c r="L77">
        <v>1</v>
      </c>
    </row>
    <row r="78" spans="1:12" x14ac:dyDescent="0.45">
      <c r="A78" t="s">
        <v>89</v>
      </c>
      <c r="B78" t="s">
        <v>11</v>
      </c>
      <c r="C78" t="s">
        <v>90</v>
      </c>
      <c r="D78">
        <v>2</v>
      </c>
      <c r="E78" t="s">
        <v>93</v>
      </c>
      <c r="F78">
        <v>564</v>
      </c>
      <c r="G78">
        <v>501</v>
      </c>
      <c r="H78">
        <v>20</v>
      </c>
      <c r="I78">
        <v>18</v>
      </c>
      <c r="J78">
        <v>6</v>
      </c>
      <c r="K78" t="s">
        <v>204</v>
      </c>
      <c r="L78">
        <v>1</v>
      </c>
    </row>
    <row r="79" spans="1:12" x14ac:dyDescent="0.45">
      <c r="A79" t="s">
        <v>89</v>
      </c>
      <c r="B79" t="s">
        <v>11</v>
      </c>
      <c r="C79" t="s">
        <v>90</v>
      </c>
      <c r="D79">
        <v>3</v>
      </c>
      <c r="E79" t="s">
        <v>94</v>
      </c>
      <c r="F79">
        <v>502</v>
      </c>
      <c r="G79">
        <v>600</v>
      </c>
      <c r="H79">
        <v>23</v>
      </c>
      <c r="I79">
        <v>22</v>
      </c>
      <c r="J79">
        <v>5</v>
      </c>
      <c r="K79" t="s">
        <v>205</v>
      </c>
      <c r="L79">
        <v>1</v>
      </c>
    </row>
    <row r="80" spans="1:12" x14ac:dyDescent="0.45">
      <c r="A80" t="s">
        <v>89</v>
      </c>
      <c r="B80" t="s">
        <v>11</v>
      </c>
      <c r="C80" t="s">
        <v>90</v>
      </c>
      <c r="D80">
        <v>4</v>
      </c>
      <c r="E80" t="s">
        <v>95</v>
      </c>
      <c r="F80">
        <v>442</v>
      </c>
      <c r="G80">
        <v>794</v>
      </c>
      <c r="H80">
        <v>15</v>
      </c>
      <c r="I80">
        <v>25</v>
      </c>
      <c r="J80">
        <v>4</v>
      </c>
      <c r="K80" t="s">
        <v>204</v>
      </c>
      <c r="L80">
        <v>1</v>
      </c>
    </row>
    <row r="81" spans="1:12" x14ac:dyDescent="0.45">
      <c r="A81" t="s">
        <v>89</v>
      </c>
      <c r="B81" t="s">
        <v>11</v>
      </c>
      <c r="C81" t="s">
        <v>90</v>
      </c>
      <c r="D81">
        <v>5</v>
      </c>
      <c r="E81" t="s">
        <v>96</v>
      </c>
      <c r="F81">
        <v>270</v>
      </c>
      <c r="G81">
        <v>646</v>
      </c>
      <c r="H81">
        <v>13</v>
      </c>
      <c r="I81">
        <v>21</v>
      </c>
      <c r="J81">
        <v>1</v>
      </c>
      <c r="K81" t="s">
        <v>204</v>
      </c>
      <c r="L81">
        <v>1</v>
      </c>
    </row>
    <row r="82" spans="1:12" x14ac:dyDescent="0.45">
      <c r="A82" t="s">
        <v>89</v>
      </c>
      <c r="B82" t="s">
        <v>11</v>
      </c>
      <c r="C82" t="s">
        <v>90</v>
      </c>
      <c r="D82">
        <v>6</v>
      </c>
      <c r="E82" t="s">
        <v>97</v>
      </c>
      <c r="F82">
        <v>330</v>
      </c>
      <c r="G82">
        <v>515</v>
      </c>
      <c r="H82">
        <v>16</v>
      </c>
      <c r="I82">
        <v>25</v>
      </c>
      <c r="J82">
        <v>1</v>
      </c>
      <c r="K82" t="s">
        <v>204</v>
      </c>
      <c r="L82">
        <v>1</v>
      </c>
    </row>
    <row r="83" spans="1:12" x14ac:dyDescent="0.45">
      <c r="A83" t="s">
        <v>89</v>
      </c>
      <c r="B83" t="s">
        <v>11</v>
      </c>
      <c r="C83" t="s">
        <v>90</v>
      </c>
      <c r="D83">
        <v>7</v>
      </c>
      <c r="E83" t="s">
        <v>98</v>
      </c>
      <c r="F83">
        <v>499</v>
      </c>
      <c r="G83">
        <v>663</v>
      </c>
      <c r="H83">
        <v>26</v>
      </c>
      <c r="I83">
        <v>27</v>
      </c>
      <c r="J83">
        <v>5</v>
      </c>
      <c r="K83" t="s">
        <v>205</v>
      </c>
      <c r="L83">
        <v>1</v>
      </c>
    </row>
    <row r="84" spans="1:12" x14ac:dyDescent="0.45">
      <c r="A84" t="s">
        <v>89</v>
      </c>
      <c r="B84" t="s">
        <v>11</v>
      </c>
      <c r="C84" t="s">
        <v>90</v>
      </c>
      <c r="D84">
        <v>8</v>
      </c>
      <c r="E84" t="s">
        <v>99</v>
      </c>
      <c r="F84">
        <v>738</v>
      </c>
      <c r="G84">
        <v>651</v>
      </c>
      <c r="H84">
        <v>18</v>
      </c>
      <c r="I84">
        <v>21</v>
      </c>
      <c r="J84">
        <v>2</v>
      </c>
      <c r="K84" t="s">
        <v>204</v>
      </c>
      <c r="L84">
        <v>1</v>
      </c>
    </row>
    <row r="85" spans="1:12" x14ac:dyDescent="0.45">
      <c r="A85" t="s">
        <v>89</v>
      </c>
      <c r="B85" t="s">
        <v>11</v>
      </c>
      <c r="C85" t="s">
        <v>90</v>
      </c>
      <c r="D85">
        <v>9</v>
      </c>
      <c r="E85" t="s">
        <v>100</v>
      </c>
      <c r="F85">
        <v>834</v>
      </c>
      <c r="G85">
        <v>583</v>
      </c>
      <c r="H85">
        <v>10</v>
      </c>
      <c r="I85">
        <v>16</v>
      </c>
      <c r="J85">
        <v>2</v>
      </c>
      <c r="K85" t="s">
        <v>205</v>
      </c>
      <c r="L85">
        <v>1</v>
      </c>
    </row>
    <row r="86" spans="1:12" x14ac:dyDescent="0.45">
      <c r="A86" t="s">
        <v>89</v>
      </c>
      <c r="B86" t="s">
        <v>11</v>
      </c>
      <c r="C86" t="s">
        <v>90</v>
      </c>
      <c r="D86">
        <v>10</v>
      </c>
      <c r="E86" t="s">
        <v>101</v>
      </c>
      <c r="F86">
        <v>219</v>
      </c>
      <c r="G86">
        <v>742</v>
      </c>
      <c r="H86">
        <v>24</v>
      </c>
      <c r="I86">
        <v>21</v>
      </c>
      <c r="J86">
        <v>10</v>
      </c>
      <c r="K86" t="s">
        <v>205</v>
      </c>
      <c r="L86">
        <v>1</v>
      </c>
    </row>
    <row r="87" spans="1:12" x14ac:dyDescent="0.45">
      <c r="A87" t="s">
        <v>89</v>
      </c>
      <c r="B87" t="s">
        <v>11</v>
      </c>
      <c r="C87" t="s">
        <v>90</v>
      </c>
      <c r="D87">
        <v>11</v>
      </c>
      <c r="E87" t="s">
        <v>102</v>
      </c>
      <c r="F87">
        <v>684</v>
      </c>
      <c r="G87">
        <v>890</v>
      </c>
      <c r="H87">
        <v>15</v>
      </c>
      <c r="I87">
        <v>16</v>
      </c>
      <c r="J87">
        <v>10</v>
      </c>
      <c r="K87" t="s">
        <v>204</v>
      </c>
      <c r="L87">
        <v>1</v>
      </c>
    </row>
    <row r="88" spans="1:12" x14ac:dyDescent="0.45">
      <c r="A88" t="s">
        <v>89</v>
      </c>
      <c r="B88" t="s">
        <v>11</v>
      </c>
      <c r="C88" t="s">
        <v>90</v>
      </c>
      <c r="D88">
        <v>12</v>
      </c>
      <c r="E88" t="s">
        <v>103</v>
      </c>
      <c r="F88">
        <v>562</v>
      </c>
      <c r="G88">
        <v>764</v>
      </c>
      <c r="H88">
        <v>19</v>
      </c>
      <c r="I88">
        <v>28</v>
      </c>
      <c r="J88">
        <v>15</v>
      </c>
      <c r="K88" t="s">
        <v>204</v>
      </c>
      <c r="L88">
        <v>1</v>
      </c>
    </row>
    <row r="89" spans="1:12" x14ac:dyDescent="0.45">
      <c r="A89" t="s">
        <v>89</v>
      </c>
      <c r="B89" t="s">
        <v>11</v>
      </c>
      <c r="C89" t="s">
        <v>90</v>
      </c>
      <c r="D89">
        <v>13</v>
      </c>
      <c r="E89" t="s">
        <v>104</v>
      </c>
      <c r="F89">
        <v>774</v>
      </c>
      <c r="G89">
        <v>763</v>
      </c>
      <c r="H89">
        <v>22</v>
      </c>
      <c r="I89">
        <v>23</v>
      </c>
      <c r="J89">
        <v>15</v>
      </c>
      <c r="K89" t="s">
        <v>204</v>
      </c>
      <c r="L89">
        <v>1</v>
      </c>
    </row>
    <row r="90" spans="1:12" x14ac:dyDescent="0.45">
      <c r="A90" t="s">
        <v>89</v>
      </c>
      <c r="B90" t="s">
        <v>11</v>
      </c>
      <c r="C90" t="s">
        <v>90</v>
      </c>
      <c r="D90">
        <v>14</v>
      </c>
      <c r="E90" t="s">
        <v>105</v>
      </c>
      <c r="F90">
        <v>1168</v>
      </c>
      <c r="G90">
        <v>863</v>
      </c>
      <c r="H90">
        <v>17</v>
      </c>
      <c r="I90">
        <v>17</v>
      </c>
      <c r="J90">
        <v>3</v>
      </c>
      <c r="K90" t="s">
        <v>205</v>
      </c>
      <c r="L90">
        <v>1</v>
      </c>
    </row>
    <row r="91" spans="1:12" x14ac:dyDescent="0.45">
      <c r="A91" t="s">
        <v>89</v>
      </c>
      <c r="B91" t="s">
        <v>11</v>
      </c>
      <c r="C91" t="s">
        <v>90</v>
      </c>
      <c r="D91">
        <v>15</v>
      </c>
      <c r="E91" t="s">
        <v>106</v>
      </c>
      <c r="F91">
        <v>1050</v>
      </c>
      <c r="G91">
        <v>959</v>
      </c>
      <c r="H91">
        <v>21</v>
      </c>
      <c r="I91">
        <v>20</v>
      </c>
      <c r="J91">
        <v>3</v>
      </c>
      <c r="K91" t="s">
        <v>204</v>
      </c>
      <c r="L91">
        <v>1</v>
      </c>
    </row>
    <row r="92" spans="1:12" x14ac:dyDescent="0.45">
      <c r="A92" t="s">
        <v>89</v>
      </c>
      <c r="B92" t="s">
        <v>11</v>
      </c>
      <c r="C92" t="s">
        <v>90</v>
      </c>
      <c r="D92">
        <v>16</v>
      </c>
      <c r="E92" t="s">
        <v>107</v>
      </c>
      <c r="F92">
        <v>898</v>
      </c>
      <c r="G92">
        <v>1004</v>
      </c>
      <c r="H92">
        <v>18</v>
      </c>
      <c r="I92">
        <v>17</v>
      </c>
      <c r="J92">
        <v>3</v>
      </c>
      <c r="K92" t="s">
        <v>205</v>
      </c>
      <c r="L92">
        <v>1</v>
      </c>
    </row>
    <row r="93" spans="1:12" x14ac:dyDescent="0.45">
      <c r="A93" t="s">
        <v>89</v>
      </c>
      <c r="B93" t="s">
        <v>11</v>
      </c>
      <c r="C93" t="s">
        <v>90</v>
      </c>
      <c r="D93">
        <v>17</v>
      </c>
      <c r="E93" t="s">
        <v>108</v>
      </c>
      <c r="F93">
        <v>856</v>
      </c>
      <c r="G93">
        <v>1022</v>
      </c>
      <c r="H93">
        <v>14</v>
      </c>
      <c r="I93">
        <v>16</v>
      </c>
      <c r="J93">
        <v>5</v>
      </c>
      <c r="K93" t="s">
        <v>204</v>
      </c>
      <c r="L93">
        <v>1</v>
      </c>
    </row>
    <row r="94" spans="1:12" x14ac:dyDescent="0.45">
      <c r="A94" t="s">
        <v>89</v>
      </c>
      <c r="B94" t="s">
        <v>11</v>
      </c>
      <c r="C94" t="s">
        <v>90</v>
      </c>
      <c r="D94">
        <v>18</v>
      </c>
      <c r="E94" t="s">
        <v>109</v>
      </c>
      <c r="F94">
        <v>820</v>
      </c>
      <c r="G94">
        <v>1203</v>
      </c>
      <c r="H94">
        <v>25</v>
      </c>
      <c r="I94">
        <v>19</v>
      </c>
      <c r="J94">
        <v>7</v>
      </c>
      <c r="K94" t="s">
        <v>205</v>
      </c>
      <c r="L94">
        <v>1</v>
      </c>
    </row>
    <row r="95" spans="1:12" x14ac:dyDescent="0.45">
      <c r="A95" t="s">
        <v>89</v>
      </c>
      <c r="B95" t="s">
        <v>11</v>
      </c>
      <c r="C95" t="s">
        <v>90</v>
      </c>
      <c r="D95">
        <v>19</v>
      </c>
      <c r="E95" t="s">
        <v>110</v>
      </c>
      <c r="F95">
        <v>1242</v>
      </c>
      <c r="G95">
        <v>1010</v>
      </c>
      <c r="H95">
        <v>10</v>
      </c>
      <c r="I95">
        <v>19</v>
      </c>
      <c r="J95">
        <v>5</v>
      </c>
      <c r="K95" t="s">
        <v>204</v>
      </c>
      <c r="L95">
        <v>1</v>
      </c>
    </row>
    <row r="96" spans="1:12" x14ac:dyDescent="0.45">
      <c r="A96" t="s">
        <v>89</v>
      </c>
      <c r="B96" t="s">
        <v>11</v>
      </c>
      <c r="C96" t="s">
        <v>90</v>
      </c>
      <c r="D96">
        <v>20</v>
      </c>
      <c r="E96" t="s">
        <v>111</v>
      </c>
      <c r="F96">
        <v>1115</v>
      </c>
      <c r="G96">
        <v>1010</v>
      </c>
      <c r="H96">
        <v>16</v>
      </c>
      <c r="I96">
        <v>21</v>
      </c>
      <c r="J96">
        <v>7</v>
      </c>
      <c r="K96" t="s">
        <v>204</v>
      </c>
      <c r="L96">
        <v>1</v>
      </c>
    </row>
    <row r="97" spans="1:12" x14ac:dyDescent="0.45">
      <c r="A97" t="s">
        <v>89</v>
      </c>
      <c r="B97" t="s">
        <v>11</v>
      </c>
      <c r="C97" t="s">
        <v>90</v>
      </c>
      <c r="D97">
        <v>21</v>
      </c>
      <c r="E97" t="s">
        <v>112</v>
      </c>
      <c r="F97">
        <v>1242</v>
      </c>
      <c r="G97">
        <v>797</v>
      </c>
      <c r="H97">
        <v>21</v>
      </c>
      <c r="I97">
        <v>23</v>
      </c>
      <c r="J97">
        <v>7</v>
      </c>
      <c r="K97" t="s">
        <v>205</v>
      </c>
      <c r="L97">
        <v>1</v>
      </c>
    </row>
    <row r="98" spans="1:12" x14ac:dyDescent="0.45">
      <c r="A98" t="s">
        <v>89</v>
      </c>
      <c r="B98" t="s">
        <v>11</v>
      </c>
      <c r="C98" t="s">
        <v>90</v>
      </c>
      <c r="D98">
        <v>22</v>
      </c>
      <c r="E98" t="s">
        <v>113</v>
      </c>
      <c r="F98">
        <v>1150</v>
      </c>
      <c r="G98">
        <v>717</v>
      </c>
      <c r="H98">
        <v>12</v>
      </c>
      <c r="I98">
        <v>24</v>
      </c>
      <c r="J98">
        <v>16</v>
      </c>
      <c r="K98" t="s">
        <v>205</v>
      </c>
      <c r="L98">
        <v>1</v>
      </c>
    </row>
    <row r="99" spans="1:12" x14ac:dyDescent="0.45">
      <c r="A99" t="s">
        <v>89</v>
      </c>
      <c r="B99" t="s">
        <v>11</v>
      </c>
      <c r="C99" t="s">
        <v>90</v>
      </c>
      <c r="D99">
        <v>23</v>
      </c>
      <c r="E99" t="s">
        <v>114</v>
      </c>
      <c r="F99">
        <v>1060</v>
      </c>
      <c r="G99">
        <v>635</v>
      </c>
      <c r="H99">
        <v>22</v>
      </c>
      <c r="I99">
        <v>25</v>
      </c>
      <c r="J99">
        <v>3</v>
      </c>
      <c r="K99" t="s">
        <v>205</v>
      </c>
      <c r="L99">
        <v>1</v>
      </c>
    </row>
    <row r="100" spans="1:12" x14ac:dyDescent="0.45">
      <c r="A100" t="s">
        <v>89</v>
      </c>
      <c r="B100" t="s">
        <v>11</v>
      </c>
      <c r="C100" t="s">
        <v>90</v>
      </c>
      <c r="D100">
        <v>24</v>
      </c>
      <c r="E100" t="s">
        <v>115</v>
      </c>
      <c r="F100">
        <v>1254</v>
      </c>
      <c r="G100">
        <v>638</v>
      </c>
      <c r="H100">
        <v>11</v>
      </c>
      <c r="I100">
        <v>19</v>
      </c>
      <c r="J100">
        <v>4</v>
      </c>
      <c r="K100" t="s">
        <v>204</v>
      </c>
      <c r="L100">
        <v>1</v>
      </c>
    </row>
    <row r="101" spans="1:12" x14ac:dyDescent="0.45">
      <c r="A101" t="s">
        <v>89</v>
      </c>
      <c r="B101" t="s">
        <v>11</v>
      </c>
      <c r="C101" t="s">
        <v>90</v>
      </c>
      <c r="D101">
        <v>25</v>
      </c>
      <c r="E101" t="s">
        <v>116</v>
      </c>
      <c r="F101">
        <v>1157</v>
      </c>
      <c r="G101">
        <v>654</v>
      </c>
      <c r="H101">
        <v>15</v>
      </c>
      <c r="I101">
        <v>23</v>
      </c>
      <c r="J101">
        <v>3</v>
      </c>
      <c r="K101" t="s">
        <v>205</v>
      </c>
      <c r="L101">
        <v>1</v>
      </c>
    </row>
    <row r="102" spans="1:12" x14ac:dyDescent="0.45">
      <c r="A102" t="s">
        <v>89</v>
      </c>
      <c r="B102" t="s">
        <v>11</v>
      </c>
      <c r="C102" t="s">
        <v>90</v>
      </c>
      <c r="D102">
        <v>26</v>
      </c>
      <c r="E102" t="s">
        <v>117</v>
      </c>
      <c r="F102">
        <v>1053</v>
      </c>
      <c r="G102">
        <v>542</v>
      </c>
      <c r="H102">
        <v>16</v>
      </c>
      <c r="I102">
        <v>19</v>
      </c>
      <c r="J102">
        <v>10</v>
      </c>
      <c r="K102" t="s">
        <v>205</v>
      </c>
      <c r="L102">
        <v>1</v>
      </c>
    </row>
    <row r="103" spans="1:12" x14ac:dyDescent="0.45">
      <c r="A103" t="s">
        <v>89</v>
      </c>
      <c r="B103" t="s">
        <v>11</v>
      </c>
      <c r="C103" t="s">
        <v>90</v>
      </c>
      <c r="D103">
        <v>27</v>
      </c>
      <c r="E103" t="s">
        <v>118</v>
      </c>
      <c r="F103">
        <v>1086</v>
      </c>
      <c r="G103">
        <v>524</v>
      </c>
      <c r="H103">
        <v>17</v>
      </c>
      <c r="I103">
        <v>18</v>
      </c>
      <c r="J103">
        <v>10</v>
      </c>
      <c r="K103" t="s">
        <v>204</v>
      </c>
      <c r="L103">
        <v>1</v>
      </c>
    </row>
    <row r="104" spans="1:12" x14ac:dyDescent="0.45">
      <c r="A104" t="s">
        <v>89</v>
      </c>
      <c r="B104" t="s">
        <v>11</v>
      </c>
      <c r="C104" t="s">
        <v>90</v>
      </c>
      <c r="D104">
        <v>28</v>
      </c>
      <c r="E104" t="s">
        <v>119</v>
      </c>
      <c r="F104">
        <v>1101</v>
      </c>
      <c r="G104">
        <v>358</v>
      </c>
      <c r="H104">
        <v>27</v>
      </c>
      <c r="I104">
        <v>21</v>
      </c>
      <c r="J104">
        <v>10</v>
      </c>
      <c r="K104" t="s">
        <v>204</v>
      </c>
      <c r="L104">
        <v>1</v>
      </c>
    </row>
    <row r="105" spans="1:12" x14ac:dyDescent="0.45">
      <c r="A105" t="s">
        <v>89</v>
      </c>
      <c r="B105" t="s">
        <v>11</v>
      </c>
      <c r="C105" t="s">
        <v>90</v>
      </c>
      <c r="D105">
        <v>29</v>
      </c>
      <c r="E105" t="s">
        <v>120</v>
      </c>
      <c r="F105">
        <v>1339</v>
      </c>
      <c r="G105">
        <v>578</v>
      </c>
      <c r="H105">
        <v>13</v>
      </c>
      <c r="I105">
        <v>15</v>
      </c>
      <c r="J105">
        <v>11</v>
      </c>
      <c r="K105" t="s">
        <v>204</v>
      </c>
      <c r="L105">
        <v>1</v>
      </c>
    </row>
    <row r="106" spans="1:12" x14ac:dyDescent="0.45">
      <c r="A106" t="s">
        <v>89</v>
      </c>
      <c r="B106" t="s">
        <v>11</v>
      </c>
      <c r="C106" t="s">
        <v>90</v>
      </c>
      <c r="D106">
        <v>30</v>
      </c>
      <c r="E106" t="s">
        <v>121</v>
      </c>
      <c r="F106">
        <v>816</v>
      </c>
      <c r="G106">
        <v>412</v>
      </c>
      <c r="H106">
        <v>14</v>
      </c>
      <c r="I106">
        <v>20</v>
      </c>
      <c r="J106">
        <v>9</v>
      </c>
      <c r="K106" t="s">
        <v>205</v>
      </c>
      <c r="L106">
        <v>1</v>
      </c>
    </row>
    <row r="107" spans="1:12" x14ac:dyDescent="0.45">
      <c r="A107" t="s">
        <v>89</v>
      </c>
      <c r="B107" t="s">
        <v>11</v>
      </c>
      <c r="C107" t="s">
        <v>90</v>
      </c>
      <c r="D107">
        <v>31</v>
      </c>
      <c r="E107" t="s">
        <v>122</v>
      </c>
      <c r="F107">
        <v>1342</v>
      </c>
      <c r="G107">
        <v>339</v>
      </c>
      <c r="H107">
        <v>12</v>
      </c>
      <c r="I107">
        <v>14</v>
      </c>
      <c r="J107">
        <v>6</v>
      </c>
      <c r="K107" t="s">
        <v>204</v>
      </c>
      <c r="L107">
        <v>1</v>
      </c>
    </row>
    <row r="108" spans="1:12" x14ac:dyDescent="0.45">
      <c r="A108" t="s">
        <v>89</v>
      </c>
      <c r="B108" t="s">
        <v>11</v>
      </c>
      <c r="C108" t="s">
        <v>90</v>
      </c>
      <c r="D108">
        <v>32</v>
      </c>
      <c r="E108" t="s">
        <v>123</v>
      </c>
      <c r="F108">
        <v>981</v>
      </c>
      <c r="G108">
        <v>205</v>
      </c>
      <c r="H108">
        <v>36</v>
      </c>
      <c r="I108">
        <v>26</v>
      </c>
      <c r="J108">
        <v>3</v>
      </c>
      <c r="K108" t="s">
        <v>205</v>
      </c>
      <c r="L108">
        <v>1</v>
      </c>
    </row>
    <row r="109" spans="1:12" x14ac:dyDescent="0.45">
      <c r="A109" t="s">
        <v>89</v>
      </c>
      <c r="B109" t="s">
        <v>11</v>
      </c>
      <c r="C109" t="s">
        <v>90</v>
      </c>
      <c r="D109">
        <v>33</v>
      </c>
      <c r="E109" t="s">
        <v>124</v>
      </c>
      <c r="F109">
        <v>797</v>
      </c>
      <c r="G109">
        <v>338</v>
      </c>
      <c r="H109">
        <v>21</v>
      </c>
      <c r="I109">
        <v>13</v>
      </c>
      <c r="J109">
        <v>3</v>
      </c>
      <c r="K109" t="s">
        <v>204</v>
      </c>
      <c r="L109">
        <v>1</v>
      </c>
    </row>
    <row r="110" spans="1:12" x14ac:dyDescent="0.45">
      <c r="A110" t="s">
        <v>89</v>
      </c>
      <c r="B110" t="s">
        <v>11</v>
      </c>
      <c r="C110" t="s">
        <v>90</v>
      </c>
      <c r="D110">
        <v>34</v>
      </c>
      <c r="E110" t="s">
        <v>125</v>
      </c>
      <c r="F110">
        <v>1191</v>
      </c>
      <c r="G110">
        <v>133</v>
      </c>
      <c r="H110">
        <v>24</v>
      </c>
      <c r="I110">
        <v>24</v>
      </c>
      <c r="J110">
        <v>1</v>
      </c>
      <c r="K110" t="s">
        <v>204</v>
      </c>
      <c r="L110">
        <v>1</v>
      </c>
    </row>
    <row r="111" spans="1:12" x14ac:dyDescent="0.45">
      <c r="A111" t="s">
        <v>126</v>
      </c>
      <c r="B111" t="s">
        <v>11</v>
      </c>
      <c r="C111" t="s">
        <v>127</v>
      </c>
      <c r="D111">
        <v>0</v>
      </c>
      <c r="E111" t="s">
        <v>128</v>
      </c>
      <c r="F111">
        <v>342</v>
      </c>
      <c r="G111">
        <v>397</v>
      </c>
      <c r="H111">
        <v>21</v>
      </c>
      <c r="I111">
        <v>22</v>
      </c>
      <c r="J111">
        <v>1</v>
      </c>
      <c r="K111" t="s">
        <v>204</v>
      </c>
      <c r="L111">
        <v>1</v>
      </c>
    </row>
    <row r="112" spans="1:12" x14ac:dyDescent="0.45">
      <c r="A112" t="s">
        <v>126</v>
      </c>
      <c r="B112" t="s">
        <v>11</v>
      </c>
      <c r="C112" t="s">
        <v>127</v>
      </c>
      <c r="D112">
        <v>1</v>
      </c>
      <c r="E112" t="s">
        <v>129</v>
      </c>
      <c r="F112">
        <v>343</v>
      </c>
      <c r="G112">
        <v>257</v>
      </c>
      <c r="H112">
        <v>22</v>
      </c>
      <c r="I112">
        <v>22</v>
      </c>
      <c r="J112">
        <v>1</v>
      </c>
      <c r="K112" t="s">
        <v>205</v>
      </c>
      <c r="L112">
        <v>1</v>
      </c>
    </row>
    <row r="113" spans="1:12" x14ac:dyDescent="0.45">
      <c r="A113" t="s">
        <v>126</v>
      </c>
      <c r="B113" t="s">
        <v>11</v>
      </c>
      <c r="C113" t="s">
        <v>127</v>
      </c>
      <c r="D113">
        <v>2</v>
      </c>
      <c r="E113" t="s">
        <v>130</v>
      </c>
      <c r="F113">
        <v>665</v>
      </c>
      <c r="G113">
        <v>231</v>
      </c>
      <c r="H113">
        <v>14</v>
      </c>
      <c r="I113">
        <v>21</v>
      </c>
      <c r="J113">
        <v>1</v>
      </c>
      <c r="K113" t="s">
        <v>205</v>
      </c>
      <c r="L113">
        <v>1</v>
      </c>
    </row>
    <row r="114" spans="1:12" x14ac:dyDescent="0.45">
      <c r="A114" t="s">
        <v>126</v>
      </c>
      <c r="B114" t="s">
        <v>11</v>
      </c>
      <c r="C114" t="s">
        <v>127</v>
      </c>
      <c r="D114">
        <v>3</v>
      </c>
      <c r="E114" t="s">
        <v>131</v>
      </c>
      <c r="F114">
        <v>213</v>
      </c>
      <c r="G114">
        <v>531</v>
      </c>
      <c r="H114">
        <v>19</v>
      </c>
      <c r="I114">
        <v>21</v>
      </c>
      <c r="J114">
        <v>4</v>
      </c>
      <c r="K114" t="s">
        <v>204</v>
      </c>
      <c r="L114">
        <v>1</v>
      </c>
    </row>
    <row r="115" spans="1:12" x14ac:dyDescent="0.45">
      <c r="A115" t="s">
        <v>126</v>
      </c>
      <c r="B115" t="s">
        <v>11</v>
      </c>
      <c r="C115" t="s">
        <v>127</v>
      </c>
      <c r="D115">
        <v>4</v>
      </c>
      <c r="E115" t="s">
        <v>132</v>
      </c>
      <c r="F115">
        <v>422</v>
      </c>
      <c r="G115">
        <v>664</v>
      </c>
      <c r="H115">
        <v>14</v>
      </c>
      <c r="I115">
        <v>26</v>
      </c>
      <c r="J115">
        <v>5</v>
      </c>
      <c r="K115" t="s">
        <v>205</v>
      </c>
      <c r="L115">
        <v>1</v>
      </c>
    </row>
    <row r="116" spans="1:12" x14ac:dyDescent="0.45">
      <c r="A116" t="s">
        <v>126</v>
      </c>
      <c r="B116" t="s">
        <v>11</v>
      </c>
      <c r="C116" t="s">
        <v>127</v>
      </c>
      <c r="D116">
        <v>5</v>
      </c>
      <c r="E116" t="s">
        <v>133</v>
      </c>
      <c r="F116">
        <v>317</v>
      </c>
      <c r="G116">
        <v>713</v>
      </c>
      <c r="H116">
        <v>14</v>
      </c>
      <c r="I116">
        <v>16</v>
      </c>
      <c r="J116">
        <v>4</v>
      </c>
      <c r="K116" t="s">
        <v>204</v>
      </c>
      <c r="L116">
        <v>1</v>
      </c>
    </row>
    <row r="117" spans="1:12" x14ac:dyDescent="0.45">
      <c r="A117" t="s">
        <v>126</v>
      </c>
      <c r="B117" t="s">
        <v>11</v>
      </c>
      <c r="C117" t="s">
        <v>127</v>
      </c>
      <c r="D117">
        <v>6</v>
      </c>
      <c r="E117" t="s">
        <v>134</v>
      </c>
      <c r="F117">
        <v>464</v>
      </c>
      <c r="G117">
        <v>749</v>
      </c>
      <c r="H117">
        <v>8</v>
      </c>
      <c r="I117">
        <v>17</v>
      </c>
      <c r="J117">
        <v>1</v>
      </c>
      <c r="K117" t="s">
        <v>205</v>
      </c>
      <c r="L117">
        <v>1</v>
      </c>
    </row>
    <row r="118" spans="1:12" x14ac:dyDescent="0.45">
      <c r="A118" t="s">
        <v>126</v>
      </c>
      <c r="B118" t="s">
        <v>11</v>
      </c>
      <c r="C118" t="s">
        <v>127</v>
      </c>
      <c r="D118">
        <v>7</v>
      </c>
      <c r="E118" t="s">
        <v>135</v>
      </c>
      <c r="F118">
        <v>602</v>
      </c>
      <c r="G118">
        <v>794</v>
      </c>
      <c r="H118">
        <v>17</v>
      </c>
      <c r="I118">
        <v>24</v>
      </c>
      <c r="J118">
        <v>1</v>
      </c>
      <c r="K118" t="s">
        <v>204</v>
      </c>
      <c r="L118">
        <v>1</v>
      </c>
    </row>
    <row r="119" spans="1:12" x14ac:dyDescent="0.45">
      <c r="A119" t="s">
        <v>126</v>
      </c>
      <c r="B119" t="s">
        <v>11</v>
      </c>
      <c r="C119" t="s">
        <v>127</v>
      </c>
      <c r="D119">
        <v>8</v>
      </c>
      <c r="E119" t="s">
        <v>136</v>
      </c>
      <c r="F119">
        <v>260</v>
      </c>
      <c r="G119">
        <v>709</v>
      </c>
      <c r="H119">
        <v>20</v>
      </c>
      <c r="I119">
        <v>20</v>
      </c>
      <c r="J119">
        <v>1</v>
      </c>
      <c r="K119" t="s">
        <v>205</v>
      </c>
      <c r="L119">
        <v>1</v>
      </c>
    </row>
    <row r="120" spans="1:12" x14ac:dyDescent="0.45">
      <c r="A120" t="s">
        <v>126</v>
      </c>
      <c r="B120" t="s">
        <v>11</v>
      </c>
      <c r="C120" t="s">
        <v>127</v>
      </c>
      <c r="D120">
        <v>9</v>
      </c>
      <c r="E120" t="s">
        <v>137</v>
      </c>
      <c r="F120">
        <v>545</v>
      </c>
      <c r="G120">
        <v>759</v>
      </c>
      <c r="H120">
        <v>21</v>
      </c>
      <c r="I120">
        <v>26</v>
      </c>
      <c r="J120">
        <v>3</v>
      </c>
      <c r="K120" t="s">
        <v>204</v>
      </c>
      <c r="L120">
        <v>1</v>
      </c>
    </row>
    <row r="121" spans="1:12" x14ac:dyDescent="0.45">
      <c r="A121" t="s">
        <v>126</v>
      </c>
      <c r="B121" t="s">
        <v>11</v>
      </c>
      <c r="C121" t="s">
        <v>127</v>
      </c>
      <c r="D121">
        <v>10</v>
      </c>
      <c r="E121" t="s">
        <v>138</v>
      </c>
      <c r="F121">
        <v>774</v>
      </c>
      <c r="G121">
        <v>1084</v>
      </c>
      <c r="H121">
        <v>26</v>
      </c>
      <c r="I121">
        <v>22</v>
      </c>
      <c r="J121">
        <v>3</v>
      </c>
      <c r="K121" t="s">
        <v>204</v>
      </c>
      <c r="L121">
        <v>1</v>
      </c>
    </row>
    <row r="122" spans="1:12" x14ac:dyDescent="0.45">
      <c r="A122" t="s">
        <v>126</v>
      </c>
      <c r="B122" t="s">
        <v>11</v>
      </c>
      <c r="C122" t="s">
        <v>127</v>
      </c>
      <c r="D122">
        <v>11</v>
      </c>
      <c r="E122" t="s">
        <v>139</v>
      </c>
      <c r="F122">
        <v>648</v>
      </c>
      <c r="G122">
        <v>1090</v>
      </c>
      <c r="H122">
        <v>21</v>
      </c>
      <c r="I122">
        <v>21</v>
      </c>
      <c r="J122">
        <v>3</v>
      </c>
      <c r="K122" t="s">
        <v>204</v>
      </c>
      <c r="L122">
        <v>1</v>
      </c>
    </row>
    <row r="123" spans="1:12" x14ac:dyDescent="0.45">
      <c r="A123" t="s">
        <v>126</v>
      </c>
      <c r="B123" t="s">
        <v>11</v>
      </c>
      <c r="C123" t="s">
        <v>127</v>
      </c>
      <c r="D123">
        <v>12</v>
      </c>
      <c r="E123" t="s">
        <v>140</v>
      </c>
      <c r="F123">
        <v>1037</v>
      </c>
      <c r="G123">
        <v>816</v>
      </c>
      <c r="H123">
        <v>24</v>
      </c>
      <c r="I123">
        <v>25</v>
      </c>
      <c r="J123">
        <v>3</v>
      </c>
      <c r="K123" t="s">
        <v>205</v>
      </c>
      <c r="L123">
        <v>1</v>
      </c>
    </row>
    <row r="124" spans="1:12" x14ac:dyDescent="0.45">
      <c r="A124" t="s">
        <v>126</v>
      </c>
      <c r="B124" t="s">
        <v>11</v>
      </c>
      <c r="C124" t="s">
        <v>127</v>
      </c>
      <c r="D124">
        <v>13</v>
      </c>
      <c r="E124" t="s">
        <v>141</v>
      </c>
      <c r="F124">
        <v>1019</v>
      </c>
      <c r="G124">
        <v>807</v>
      </c>
      <c r="H124">
        <v>12</v>
      </c>
      <c r="I124">
        <v>17</v>
      </c>
      <c r="J124">
        <v>3</v>
      </c>
      <c r="K124" t="s">
        <v>204</v>
      </c>
      <c r="L124">
        <v>1</v>
      </c>
    </row>
    <row r="125" spans="1:12" x14ac:dyDescent="0.45">
      <c r="A125" t="s">
        <v>126</v>
      </c>
      <c r="B125" t="s">
        <v>11</v>
      </c>
      <c r="C125" t="s">
        <v>127</v>
      </c>
      <c r="D125">
        <v>14</v>
      </c>
      <c r="E125" t="s">
        <v>142</v>
      </c>
      <c r="F125">
        <v>849</v>
      </c>
      <c r="G125">
        <v>767</v>
      </c>
      <c r="H125">
        <v>22</v>
      </c>
      <c r="I125">
        <v>21</v>
      </c>
      <c r="J125">
        <v>7</v>
      </c>
      <c r="K125" t="s">
        <v>204</v>
      </c>
      <c r="L125">
        <v>1</v>
      </c>
    </row>
    <row r="126" spans="1:12" x14ac:dyDescent="0.45">
      <c r="A126" t="s">
        <v>126</v>
      </c>
      <c r="B126" t="s">
        <v>11</v>
      </c>
      <c r="C126" t="s">
        <v>127</v>
      </c>
      <c r="D126">
        <v>15</v>
      </c>
      <c r="E126" t="s">
        <v>143</v>
      </c>
      <c r="F126">
        <v>766</v>
      </c>
      <c r="G126">
        <v>757</v>
      </c>
      <c r="H126">
        <v>17</v>
      </c>
      <c r="I126">
        <v>23</v>
      </c>
      <c r="J126">
        <v>12</v>
      </c>
      <c r="K126" t="s">
        <v>204</v>
      </c>
      <c r="L126">
        <v>1</v>
      </c>
    </row>
    <row r="127" spans="1:12" x14ac:dyDescent="0.45">
      <c r="A127" t="s">
        <v>126</v>
      </c>
      <c r="B127" t="s">
        <v>11</v>
      </c>
      <c r="C127" t="s">
        <v>127</v>
      </c>
      <c r="D127">
        <v>16</v>
      </c>
      <c r="E127" t="s">
        <v>144</v>
      </c>
      <c r="F127">
        <v>711</v>
      </c>
      <c r="G127">
        <v>578</v>
      </c>
      <c r="H127">
        <v>25</v>
      </c>
      <c r="I127">
        <v>18</v>
      </c>
      <c r="J127">
        <v>11</v>
      </c>
      <c r="K127" t="s">
        <v>204</v>
      </c>
      <c r="L127">
        <v>1</v>
      </c>
    </row>
    <row r="128" spans="1:12" x14ac:dyDescent="0.45">
      <c r="A128" t="s">
        <v>126</v>
      </c>
      <c r="B128" t="s">
        <v>11</v>
      </c>
      <c r="C128" t="s">
        <v>127</v>
      </c>
      <c r="D128">
        <v>17</v>
      </c>
      <c r="E128" t="s">
        <v>145</v>
      </c>
      <c r="F128">
        <v>870</v>
      </c>
      <c r="G128">
        <v>563</v>
      </c>
      <c r="H128">
        <v>10</v>
      </c>
      <c r="I128">
        <v>12</v>
      </c>
      <c r="J128">
        <v>12</v>
      </c>
      <c r="K128" t="s">
        <v>205</v>
      </c>
      <c r="L128">
        <v>1</v>
      </c>
    </row>
    <row r="129" spans="1:12" x14ac:dyDescent="0.45">
      <c r="A129" t="s">
        <v>126</v>
      </c>
      <c r="B129" t="s">
        <v>11</v>
      </c>
      <c r="C129" t="s">
        <v>127</v>
      </c>
      <c r="D129">
        <v>18</v>
      </c>
      <c r="E129" t="s">
        <v>146</v>
      </c>
      <c r="F129">
        <v>1149</v>
      </c>
      <c r="G129">
        <v>754</v>
      </c>
      <c r="H129">
        <v>20</v>
      </c>
      <c r="I129">
        <v>20</v>
      </c>
      <c r="J129">
        <v>13</v>
      </c>
      <c r="K129" t="s">
        <v>205</v>
      </c>
      <c r="L129">
        <v>1</v>
      </c>
    </row>
    <row r="130" spans="1:12" x14ac:dyDescent="0.45">
      <c r="A130" t="s">
        <v>126</v>
      </c>
      <c r="B130" t="s">
        <v>11</v>
      </c>
      <c r="C130" t="s">
        <v>127</v>
      </c>
      <c r="D130">
        <v>19</v>
      </c>
      <c r="E130" t="s">
        <v>147</v>
      </c>
      <c r="F130">
        <v>1134</v>
      </c>
      <c r="G130">
        <v>646</v>
      </c>
      <c r="H130">
        <v>25</v>
      </c>
      <c r="I130">
        <v>23</v>
      </c>
      <c r="J130">
        <v>14</v>
      </c>
      <c r="K130" t="s">
        <v>205</v>
      </c>
      <c r="L130">
        <v>1</v>
      </c>
    </row>
    <row r="131" spans="1:12" x14ac:dyDescent="0.45">
      <c r="A131" t="s">
        <v>126</v>
      </c>
      <c r="B131" t="s">
        <v>11</v>
      </c>
      <c r="C131" t="s">
        <v>127</v>
      </c>
      <c r="D131">
        <v>20</v>
      </c>
      <c r="E131" t="s">
        <v>148</v>
      </c>
      <c r="F131">
        <v>924</v>
      </c>
      <c r="G131">
        <v>587</v>
      </c>
      <c r="H131">
        <v>18</v>
      </c>
      <c r="I131">
        <v>26</v>
      </c>
      <c r="J131">
        <v>8</v>
      </c>
      <c r="K131" t="s">
        <v>204</v>
      </c>
      <c r="L131">
        <v>1</v>
      </c>
    </row>
    <row r="132" spans="1:12" x14ac:dyDescent="0.45">
      <c r="A132" t="s">
        <v>126</v>
      </c>
      <c r="B132" t="s">
        <v>11</v>
      </c>
      <c r="C132" t="s">
        <v>127</v>
      </c>
      <c r="D132">
        <v>21</v>
      </c>
      <c r="E132" t="s">
        <v>149</v>
      </c>
      <c r="F132">
        <v>991</v>
      </c>
      <c r="G132">
        <v>643</v>
      </c>
      <c r="H132">
        <v>17</v>
      </c>
      <c r="I132">
        <v>23</v>
      </c>
      <c r="J132">
        <v>8</v>
      </c>
      <c r="K132" t="s">
        <v>205</v>
      </c>
      <c r="L132">
        <v>1</v>
      </c>
    </row>
    <row r="133" spans="1:12" x14ac:dyDescent="0.45">
      <c r="A133" t="s">
        <v>126</v>
      </c>
      <c r="B133" t="s">
        <v>11</v>
      </c>
      <c r="C133" t="s">
        <v>127</v>
      </c>
      <c r="D133">
        <v>22</v>
      </c>
      <c r="E133" t="s">
        <v>150</v>
      </c>
      <c r="F133">
        <v>1088</v>
      </c>
      <c r="G133">
        <v>940</v>
      </c>
      <c r="H133">
        <v>20</v>
      </c>
      <c r="I133">
        <v>26</v>
      </c>
      <c r="J133">
        <v>7</v>
      </c>
      <c r="K133" t="s">
        <v>205</v>
      </c>
      <c r="L133">
        <v>1</v>
      </c>
    </row>
    <row r="134" spans="1:12" x14ac:dyDescent="0.45">
      <c r="A134" t="s">
        <v>126</v>
      </c>
      <c r="B134" t="s">
        <v>11</v>
      </c>
      <c r="C134" t="s">
        <v>127</v>
      </c>
      <c r="D134">
        <v>23</v>
      </c>
      <c r="E134" t="s">
        <v>151</v>
      </c>
      <c r="F134">
        <v>1168</v>
      </c>
      <c r="G134">
        <v>1030</v>
      </c>
      <c r="H134">
        <v>20</v>
      </c>
      <c r="I134">
        <v>20</v>
      </c>
      <c r="J134">
        <v>6</v>
      </c>
      <c r="K134" t="s">
        <v>204</v>
      </c>
      <c r="L134">
        <v>1</v>
      </c>
    </row>
    <row r="135" spans="1:12" x14ac:dyDescent="0.45">
      <c r="A135" t="s">
        <v>126</v>
      </c>
      <c r="B135" t="s">
        <v>11</v>
      </c>
      <c r="C135" t="s">
        <v>127</v>
      </c>
      <c r="D135">
        <v>24</v>
      </c>
      <c r="E135" t="s">
        <v>152</v>
      </c>
      <c r="F135">
        <v>962</v>
      </c>
      <c r="G135">
        <v>901</v>
      </c>
      <c r="H135">
        <v>16</v>
      </c>
      <c r="I135">
        <v>20</v>
      </c>
      <c r="J135">
        <v>6</v>
      </c>
      <c r="K135" t="s">
        <v>205</v>
      </c>
      <c r="L135">
        <v>1</v>
      </c>
    </row>
    <row r="136" spans="1:12" x14ac:dyDescent="0.45">
      <c r="A136" t="s">
        <v>126</v>
      </c>
      <c r="B136" t="s">
        <v>11</v>
      </c>
      <c r="C136" t="s">
        <v>127</v>
      </c>
      <c r="D136">
        <v>25</v>
      </c>
      <c r="E136" t="s">
        <v>153</v>
      </c>
      <c r="F136">
        <v>1084</v>
      </c>
      <c r="G136">
        <v>536</v>
      </c>
      <c r="H136">
        <v>16</v>
      </c>
      <c r="I136">
        <v>24</v>
      </c>
      <c r="J136">
        <v>6</v>
      </c>
      <c r="K136" t="s">
        <v>204</v>
      </c>
      <c r="L136">
        <v>1</v>
      </c>
    </row>
    <row r="137" spans="1:12" x14ac:dyDescent="0.45">
      <c r="A137" t="s">
        <v>126</v>
      </c>
      <c r="B137" t="s">
        <v>11</v>
      </c>
      <c r="C137" t="s">
        <v>127</v>
      </c>
      <c r="D137">
        <v>26</v>
      </c>
      <c r="E137" t="s">
        <v>154</v>
      </c>
      <c r="F137">
        <v>1168</v>
      </c>
      <c r="G137">
        <v>679</v>
      </c>
      <c r="H137">
        <v>23</v>
      </c>
      <c r="I137">
        <v>11</v>
      </c>
      <c r="J137">
        <v>7</v>
      </c>
      <c r="K137" t="s">
        <v>205</v>
      </c>
      <c r="L137">
        <v>1</v>
      </c>
    </row>
    <row r="138" spans="1:12" x14ac:dyDescent="0.45">
      <c r="A138" t="s">
        <v>126</v>
      </c>
      <c r="B138" t="s">
        <v>11</v>
      </c>
      <c r="C138" t="s">
        <v>127</v>
      </c>
      <c r="D138">
        <v>27</v>
      </c>
      <c r="E138" t="s">
        <v>155</v>
      </c>
      <c r="F138">
        <v>927</v>
      </c>
      <c r="G138">
        <v>354</v>
      </c>
      <c r="H138">
        <v>16</v>
      </c>
      <c r="I138">
        <v>24</v>
      </c>
      <c r="J138">
        <v>8</v>
      </c>
      <c r="K138" t="s">
        <v>204</v>
      </c>
      <c r="L138">
        <v>1</v>
      </c>
    </row>
    <row r="139" spans="1:12" x14ac:dyDescent="0.45">
      <c r="A139" t="s">
        <v>126</v>
      </c>
      <c r="B139" t="s">
        <v>11</v>
      </c>
      <c r="C139" t="s">
        <v>127</v>
      </c>
      <c r="D139">
        <v>28</v>
      </c>
      <c r="E139" t="s">
        <v>156</v>
      </c>
      <c r="F139">
        <v>722</v>
      </c>
      <c r="G139">
        <v>523</v>
      </c>
      <c r="H139">
        <v>28</v>
      </c>
      <c r="I139">
        <v>21</v>
      </c>
      <c r="J139">
        <v>2</v>
      </c>
      <c r="K139" t="s">
        <v>205</v>
      </c>
      <c r="L139">
        <v>1</v>
      </c>
    </row>
    <row r="140" spans="1:12" x14ac:dyDescent="0.45">
      <c r="A140" t="s">
        <v>126</v>
      </c>
      <c r="B140" t="s">
        <v>11</v>
      </c>
      <c r="C140" t="s">
        <v>127</v>
      </c>
      <c r="D140">
        <v>29</v>
      </c>
      <c r="E140" t="s">
        <v>157</v>
      </c>
      <c r="F140">
        <v>855</v>
      </c>
      <c r="G140">
        <v>400</v>
      </c>
      <c r="H140">
        <v>22</v>
      </c>
      <c r="I140">
        <v>22</v>
      </c>
      <c r="J140">
        <v>13</v>
      </c>
      <c r="K140" t="s">
        <v>204</v>
      </c>
      <c r="L140">
        <v>1</v>
      </c>
    </row>
    <row r="141" spans="1:12" x14ac:dyDescent="0.45">
      <c r="A141" t="s">
        <v>126</v>
      </c>
      <c r="B141" t="s">
        <v>11</v>
      </c>
      <c r="C141" t="s">
        <v>127</v>
      </c>
      <c r="D141">
        <v>30</v>
      </c>
      <c r="E141" t="s">
        <v>158</v>
      </c>
      <c r="F141">
        <v>854</v>
      </c>
      <c r="G141">
        <v>455</v>
      </c>
      <c r="H141">
        <v>16</v>
      </c>
      <c r="I141">
        <v>13</v>
      </c>
      <c r="J141">
        <v>13</v>
      </c>
      <c r="K141" t="s">
        <v>204</v>
      </c>
      <c r="L141">
        <v>1</v>
      </c>
    </row>
    <row r="142" spans="1:12" x14ac:dyDescent="0.45">
      <c r="A142" t="s">
        <v>126</v>
      </c>
      <c r="B142" t="s">
        <v>11</v>
      </c>
      <c r="C142" t="s">
        <v>127</v>
      </c>
      <c r="D142">
        <v>31</v>
      </c>
      <c r="E142" t="s">
        <v>159</v>
      </c>
      <c r="F142">
        <v>1245</v>
      </c>
      <c r="G142">
        <v>190</v>
      </c>
      <c r="H142">
        <v>17</v>
      </c>
      <c r="I142">
        <v>23</v>
      </c>
      <c r="J142">
        <v>1</v>
      </c>
      <c r="K142" t="s">
        <v>204</v>
      </c>
      <c r="L142">
        <v>1</v>
      </c>
    </row>
    <row r="143" spans="1:12" x14ac:dyDescent="0.45">
      <c r="A143" t="s">
        <v>126</v>
      </c>
      <c r="B143" t="s">
        <v>11</v>
      </c>
      <c r="C143" t="s">
        <v>127</v>
      </c>
      <c r="D143">
        <v>32</v>
      </c>
      <c r="E143" t="s">
        <v>160</v>
      </c>
      <c r="F143">
        <v>1271</v>
      </c>
      <c r="G143">
        <v>122</v>
      </c>
      <c r="H143">
        <v>12</v>
      </c>
      <c r="I143">
        <v>20</v>
      </c>
      <c r="J143">
        <v>1</v>
      </c>
      <c r="K143" t="s">
        <v>204</v>
      </c>
      <c r="L143">
        <v>1</v>
      </c>
    </row>
    <row r="144" spans="1:12" x14ac:dyDescent="0.45">
      <c r="A144" t="s">
        <v>126</v>
      </c>
      <c r="B144" t="s">
        <v>11</v>
      </c>
      <c r="C144" t="s">
        <v>127</v>
      </c>
      <c r="D144">
        <v>33</v>
      </c>
      <c r="E144" t="s">
        <v>161</v>
      </c>
      <c r="F144">
        <v>1224</v>
      </c>
      <c r="G144">
        <v>584</v>
      </c>
      <c r="H144">
        <v>17</v>
      </c>
      <c r="I144">
        <v>26</v>
      </c>
      <c r="J144">
        <v>1</v>
      </c>
      <c r="K144" t="s">
        <v>205</v>
      </c>
      <c r="L144">
        <v>1</v>
      </c>
    </row>
    <row r="145" spans="1:12" x14ac:dyDescent="0.45">
      <c r="A145" t="s">
        <v>126</v>
      </c>
      <c r="B145" t="s">
        <v>11</v>
      </c>
      <c r="C145" t="s">
        <v>127</v>
      </c>
      <c r="D145">
        <v>34</v>
      </c>
      <c r="E145" t="s">
        <v>162</v>
      </c>
      <c r="F145">
        <v>1097</v>
      </c>
      <c r="G145">
        <v>334</v>
      </c>
      <c r="H145">
        <v>18</v>
      </c>
      <c r="I145">
        <v>22</v>
      </c>
      <c r="J145">
        <v>3</v>
      </c>
      <c r="K145" t="s">
        <v>205</v>
      </c>
      <c r="L145">
        <v>1</v>
      </c>
    </row>
    <row r="146" spans="1:12" x14ac:dyDescent="0.45">
      <c r="A146" t="s">
        <v>126</v>
      </c>
      <c r="B146" t="s">
        <v>11</v>
      </c>
      <c r="C146" t="s">
        <v>127</v>
      </c>
      <c r="D146">
        <v>35</v>
      </c>
      <c r="E146" t="s">
        <v>163</v>
      </c>
      <c r="F146">
        <v>894</v>
      </c>
      <c r="G146">
        <v>110</v>
      </c>
      <c r="H146">
        <v>14</v>
      </c>
      <c r="I146">
        <v>14</v>
      </c>
      <c r="J146">
        <v>4</v>
      </c>
      <c r="K146" t="s">
        <v>204</v>
      </c>
      <c r="L146">
        <v>1</v>
      </c>
    </row>
    <row r="147" spans="1:12" x14ac:dyDescent="0.45">
      <c r="A147" t="s">
        <v>164</v>
      </c>
      <c r="B147" t="s">
        <v>11</v>
      </c>
      <c r="C147" t="s">
        <v>165</v>
      </c>
      <c r="D147">
        <v>0</v>
      </c>
      <c r="E147" t="s">
        <v>166</v>
      </c>
      <c r="F147">
        <v>365</v>
      </c>
      <c r="G147">
        <v>406</v>
      </c>
      <c r="H147">
        <v>15</v>
      </c>
      <c r="I147">
        <v>18</v>
      </c>
      <c r="J147">
        <v>2</v>
      </c>
      <c r="K147" t="s">
        <v>205</v>
      </c>
      <c r="L147">
        <v>1</v>
      </c>
    </row>
    <row r="148" spans="1:12" x14ac:dyDescent="0.45">
      <c r="A148" t="s">
        <v>164</v>
      </c>
      <c r="B148" t="s">
        <v>11</v>
      </c>
      <c r="C148" t="s">
        <v>165</v>
      </c>
      <c r="D148">
        <v>1</v>
      </c>
      <c r="E148" t="s">
        <v>167</v>
      </c>
      <c r="F148">
        <v>381</v>
      </c>
      <c r="G148">
        <v>499</v>
      </c>
      <c r="H148">
        <v>13</v>
      </c>
      <c r="I148">
        <v>20</v>
      </c>
      <c r="J148">
        <v>2</v>
      </c>
      <c r="K148" t="s">
        <v>204</v>
      </c>
      <c r="L148">
        <v>1</v>
      </c>
    </row>
    <row r="149" spans="1:12" x14ac:dyDescent="0.45">
      <c r="A149" t="s">
        <v>164</v>
      </c>
      <c r="B149" t="s">
        <v>11</v>
      </c>
      <c r="C149" t="s">
        <v>165</v>
      </c>
      <c r="D149">
        <v>2</v>
      </c>
      <c r="E149" t="s">
        <v>168</v>
      </c>
      <c r="F149">
        <v>466</v>
      </c>
      <c r="G149">
        <v>172</v>
      </c>
      <c r="H149">
        <v>19</v>
      </c>
      <c r="I149">
        <v>26</v>
      </c>
      <c r="J149">
        <v>1</v>
      </c>
      <c r="K149" t="s">
        <v>204</v>
      </c>
      <c r="L149">
        <v>1</v>
      </c>
    </row>
    <row r="150" spans="1:12" x14ac:dyDescent="0.45">
      <c r="A150" t="s">
        <v>164</v>
      </c>
      <c r="B150" t="s">
        <v>11</v>
      </c>
      <c r="C150" t="s">
        <v>165</v>
      </c>
      <c r="D150">
        <v>3</v>
      </c>
      <c r="E150" t="s">
        <v>169</v>
      </c>
      <c r="F150">
        <v>269</v>
      </c>
      <c r="G150">
        <v>693</v>
      </c>
      <c r="H150">
        <v>19</v>
      </c>
      <c r="I150">
        <v>19</v>
      </c>
      <c r="J150">
        <v>1</v>
      </c>
      <c r="K150" t="s">
        <v>205</v>
      </c>
      <c r="L150">
        <v>1</v>
      </c>
    </row>
    <row r="151" spans="1:12" x14ac:dyDescent="0.45">
      <c r="A151" t="s">
        <v>164</v>
      </c>
      <c r="B151" t="s">
        <v>11</v>
      </c>
      <c r="C151" t="s">
        <v>165</v>
      </c>
      <c r="D151">
        <v>4</v>
      </c>
      <c r="E151" t="s">
        <v>170</v>
      </c>
      <c r="F151">
        <v>324</v>
      </c>
      <c r="G151">
        <v>736</v>
      </c>
      <c r="H151">
        <v>21</v>
      </c>
      <c r="I151">
        <v>17</v>
      </c>
      <c r="J151">
        <v>1</v>
      </c>
      <c r="K151" t="s">
        <v>205</v>
      </c>
      <c r="L151">
        <v>1</v>
      </c>
    </row>
    <row r="152" spans="1:12" x14ac:dyDescent="0.45">
      <c r="A152" t="s">
        <v>164</v>
      </c>
      <c r="B152" t="s">
        <v>11</v>
      </c>
      <c r="C152" t="s">
        <v>165</v>
      </c>
      <c r="D152">
        <v>5</v>
      </c>
      <c r="E152" t="s">
        <v>171</v>
      </c>
      <c r="F152">
        <v>445</v>
      </c>
      <c r="G152">
        <v>565</v>
      </c>
      <c r="H152">
        <v>16</v>
      </c>
      <c r="I152">
        <v>26</v>
      </c>
      <c r="J152">
        <v>1</v>
      </c>
      <c r="K152" t="s">
        <v>204</v>
      </c>
      <c r="L152">
        <v>1</v>
      </c>
    </row>
    <row r="153" spans="1:12" x14ac:dyDescent="0.45">
      <c r="A153" t="s">
        <v>164</v>
      </c>
      <c r="B153" t="s">
        <v>11</v>
      </c>
      <c r="C153" t="s">
        <v>165</v>
      </c>
      <c r="D153">
        <v>6</v>
      </c>
      <c r="E153" t="s">
        <v>172</v>
      </c>
      <c r="F153">
        <v>516</v>
      </c>
      <c r="G153">
        <v>628</v>
      </c>
      <c r="H153">
        <v>14</v>
      </c>
      <c r="I153">
        <v>23</v>
      </c>
      <c r="J153">
        <v>1</v>
      </c>
      <c r="K153" t="s">
        <v>204</v>
      </c>
      <c r="L153">
        <v>1</v>
      </c>
    </row>
    <row r="154" spans="1:12" x14ac:dyDescent="0.45">
      <c r="A154" t="s">
        <v>164</v>
      </c>
      <c r="B154" t="s">
        <v>11</v>
      </c>
      <c r="C154" t="s">
        <v>165</v>
      </c>
      <c r="D154">
        <v>7</v>
      </c>
      <c r="E154" t="s">
        <v>173</v>
      </c>
      <c r="F154">
        <v>600</v>
      </c>
      <c r="G154">
        <v>565</v>
      </c>
      <c r="H154">
        <v>20</v>
      </c>
      <c r="I154">
        <v>26</v>
      </c>
      <c r="J154">
        <v>3</v>
      </c>
      <c r="K154" t="s">
        <v>205</v>
      </c>
      <c r="L154">
        <v>1</v>
      </c>
    </row>
    <row r="155" spans="1:12" x14ac:dyDescent="0.45">
      <c r="A155" t="s">
        <v>164</v>
      </c>
      <c r="B155" t="s">
        <v>11</v>
      </c>
      <c r="C155" t="s">
        <v>165</v>
      </c>
      <c r="D155">
        <v>8</v>
      </c>
      <c r="E155" t="s">
        <v>174</v>
      </c>
      <c r="F155">
        <v>623</v>
      </c>
      <c r="G155">
        <v>606</v>
      </c>
      <c r="H155">
        <v>24</v>
      </c>
      <c r="I155">
        <v>25</v>
      </c>
      <c r="J155">
        <v>3</v>
      </c>
      <c r="K155" t="s">
        <v>205</v>
      </c>
      <c r="L155">
        <v>1</v>
      </c>
    </row>
    <row r="156" spans="1:12" x14ac:dyDescent="0.45">
      <c r="A156" t="s">
        <v>164</v>
      </c>
      <c r="B156" t="s">
        <v>11</v>
      </c>
      <c r="C156" t="s">
        <v>165</v>
      </c>
      <c r="D156">
        <v>9</v>
      </c>
      <c r="E156" t="s">
        <v>175</v>
      </c>
      <c r="F156">
        <v>532</v>
      </c>
      <c r="G156">
        <v>1071</v>
      </c>
      <c r="H156">
        <v>13</v>
      </c>
      <c r="I156">
        <v>14</v>
      </c>
      <c r="J156">
        <v>5</v>
      </c>
      <c r="K156" t="s">
        <v>205</v>
      </c>
      <c r="L156">
        <v>1</v>
      </c>
    </row>
    <row r="157" spans="1:12" x14ac:dyDescent="0.45">
      <c r="A157" t="s">
        <v>164</v>
      </c>
      <c r="B157" t="s">
        <v>11</v>
      </c>
      <c r="C157" t="s">
        <v>165</v>
      </c>
      <c r="D157">
        <v>10</v>
      </c>
      <c r="E157" t="s">
        <v>176</v>
      </c>
      <c r="F157">
        <v>484</v>
      </c>
      <c r="G157">
        <v>1092</v>
      </c>
      <c r="H157">
        <v>23</v>
      </c>
      <c r="I157">
        <v>17</v>
      </c>
      <c r="J157">
        <v>7</v>
      </c>
      <c r="K157" t="s">
        <v>204</v>
      </c>
      <c r="L157">
        <v>1</v>
      </c>
    </row>
    <row r="158" spans="1:12" x14ac:dyDescent="0.45">
      <c r="A158" t="s">
        <v>164</v>
      </c>
      <c r="B158" t="s">
        <v>11</v>
      </c>
      <c r="C158" t="s">
        <v>165</v>
      </c>
      <c r="D158">
        <v>11</v>
      </c>
      <c r="E158" t="s">
        <v>177</v>
      </c>
      <c r="F158">
        <v>402</v>
      </c>
      <c r="G158">
        <v>1112</v>
      </c>
      <c r="H158">
        <v>21</v>
      </c>
      <c r="I158">
        <v>23</v>
      </c>
      <c r="J158">
        <v>5</v>
      </c>
      <c r="K158" t="s">
        <v>204</v>
      </c>
      <c r="L158">
        <v>1</v>
      </c>
    </row>
    <row r="159" spans="1:12" x14ac:dyDescent="0.45">
      <c r="A159" t="s">
        <v>164</v>
      </c>
      <c r="B159" t="s">
        <v>11</v>
      </c>
      <c r="C159" t="s">
        <v>165</v>
      </c>
      <c r="D159">
        <v>12</v>
      </c>
      <c r="E159" t="s">
        <v>178</v>
      </c>
      <c r="F159">
        <v>358</v>
      </c>
      <c r="G159">
        <v>1154</v>
      </c>
      <c r="H159">
        <v>12</v>
      </c>
      <c r="I159">
        <v>19</v>
      </c>
      <c r="J159">
        <v>6</v>
      </c>
      <c r="K159" t="s">
        <v>204</v>
      </c>
      <c r="L159">
        <v>1</v>
      </c>
    </row>
    <row r="160" spans="1:12" x14ac:dyDescent="0.45">
      <c r="A160" t="s">
        <v>164</v>
      </c>
      <c r="B160" t="s">
        <v>11</v>
      </c>
      <c r="C160" t="s">
        <v>165</v>
      </c>
      <c r="D160">
        <v>13</v>
      </c>
      <c r="E160" t="s">
        <v>179</v>
      </c>
      <c r="F160">
        <v>135</v>
      </c>
      <c r="G160">
        <v>1073</v>
      </c>
      <c r="H160">
        <v>17</v>
      </c>
      <c r="I160">
        <v>17</v>
      </c>
      <c r="J160">
        <v>5</v>
      </c>
      <c r="K160" t="s">
        <v>204</v>
      </c>
      <c r="L160">
        <v>1</v>
      </c>
    </row>
    <row r="161" spans="1:12" x14ac:dyDescent="0.45">
      <c r="A161" t="s">
        <v>164</v>
      </c>
      <c r="B161" t="s">
        <v>11</v>
      </c>
      <c r="C161" t="s">
        <v>165</v>
      </c>
      <c r="D161">
        <v>14</v>
      </c>
      <c r="E161" t="s">
        <v>180</v>
      </c>
      <c r="F161">
        <v>559</v>
      </c>
      <c r="G161">
        <v>911</v>
      </c>
      <c r="H161">
        <v>19</v>
      </c>
      <c r="I161">
        <v>19</v>
      </c>
      <c r="J161">
        <v>5</v>
      </c>
      <c r="K161" t="s">
        <v>204</v>
      </c>
      <c r="L161">
        <v>1</v>
      </c>
    </row>
    <row r="162" spans="1:12" x14ac:dyDescent="0.45">
      <c r="A162" t="s">
        <v>164</v>
      </c>
      <c r="B162" t="s">
        <v>11</v>
      </c>
      <c r="C162" t="s">
        <v>165</v>
      </c>
      <c r="D162">
        <v>15</v>
      </c>
      <c r="E162" t="s">
        <v>181</v>
      </c>
      <c r="F162">
        <v>510</v>
      </c>
      <c r="G162">
        <v>812</v>
      </c>
      <c r="H162">
        <v>19</v>
      </c>
      <c r="I162">
        <v>16</v>
      </c>
      <c r="J162">
        <v>5</v>
      </c>
      <c r="K162" t="s">
        <v>204</v>
      </c>
      <c r="L162">
        <v>1</v>
      </c>
    </row>
    <row r="163" spans="1:12" x14ac:dyDescent="0.45">
      <c r="A163" t="s">
        <v>164</v>
      </c>
      <c r="B163" t="s">
        <v>11</v>
      </c>
      <c r="C163" t="s">
        <v>165</v>
      </c>
      <c r="D163">
        <v>16</v>
      </c>
      <c r="E163" t="s">
        <v>182</v>
      </c>
      <c r="F163">
        <v>843</v>
      </c>
      <c r="G163">
        <v>784</v>
      </c>
      <c r="H163">
        <v>21</v>
      </c>
      <c r="I163">
        <v>19</v>
      </c>
      <c r="J163">
        <v>1</v>
      </c>
      <c r="K163" t="s">
        <v>204</v>
      </c>
      <c r="L163">
        <v>1</v>
      </c>
    </row>
    <row r="164" spans="1:12" x14ac:dyDescent="0.45">
      <c r="A164" t="s">
        <v>164</v>
      </c>
      <c r="B164" t="s">
        <v>11</v>
      </c>
      <c r="C164" t="s">
        <v>165</v>
      </c>
      <c r="D164">
        <v>17</v>
      </c>
      <c r="E164" t="s">
        <v>183</v>
      </c>
      <c r="F164">
        <v>840</v>
      </c>
      <c r="G164">
        <v>1010</v>
      </c>
      <c r="H164">
        <v>15</v>
      </c>
      <c r="I164">
        <v>20</v>
      </c>
      <c r="J164">
        <v>4</v>
      </c>
      <c r="K164" t="s">
        <v>204</v>
      </c>
      <c r="L164">
        <v>1</v>
      </c>
    </row>
    <row r="165" spans="1:12" x14ac:dyDescent="0.45">
      <c r="A165" t="s">
        <v>164</v>
      </c>
      <c r="B165" t="s">
        <v>11</v>
      </c>
      <c r="C165" t="s">
        <v>165</v>
      </c>
      <c r="D165">
        <v>18</v>
      </c>
      <c r="E165" t="s">
        <v>184</v>
      </c>
      <c r="F165">
        <v>1093</v>
      </c>
      <c r="G165">
        <v>843</v>
      </c>
      <c r="H165">
        <v>16</v>
      </c>
      <c r="I165">
        <v>24</v>
      </c>
      <c r="J165">
        <v>2</v>
      </c>
      <c r="K165" t="s">
        <v>204</v>
      </c>
      <c r="L165">
        <v>1</v>
      </c>
    </row>
    <row r="166" spans="1:12" x14ac:dyDescent="0.45">
      <c r="A166" t="s">
        <v>164</v>
      </c>
      <c r="B166" t="s">
        <v>11</v>
      </c>
      <c r="C166" t="s">
        <v>165</v>
      </c>
      <c r="D166">
        <v>19</v>
      </c>
      <c r="E166" t="s">
        <v>185</v>
      </c>
      <c r="F166">
        <v>1232</v>
      </c>
      <c r="G166">
        <v>1000</v>
      </c>
      <c r="H166">
        <v>12</v>
      </c>
      <c r="I166">
        <v>19</v>
      </c>
      <c r="J166">
        <v>1</v>
      </c>
      <c r="K166" t="s">
        <v>204</v>
      </c>
      <c r="L166">
        <v>1</v>
      </c>
    </row>
    <row r="167" spans="1:12" x14ac:dyDescent="0.45">
      <c r="A167" t="s">
        <v>164</v>
      </c>
      <c r="B167" t="s">
        <v>11</v>
      </c>
      <c r="C167" t="s">
        <v>165</v>
      </c>
      <c r="D167">
        <v>20</v>
      </c>
      <c r="E167" t="s">
        <v>186</v>
      </c>
      <c r="F167">
        <v>1218</v>
      </c>
      <c r="G167">
        <v>1036</v>
      </c>
      <c r="H167">
        <v>11</v>
      </c>
      <c r="I167">
        <v>17</v>
      </c>
      <c r="J167">
        <v>6</v>
      </c>
      <c r="K167" t="s">
        <v>204</v>
      </c>
      <c r="L167">
        <v>1</v>
      </c>
    </row>
    <row r="168" spans="1:12" x14ac:dyDescent="0.45">
      <c r="A168" t="s">
        <v>164</v>
      </c>
      <c r="B168" t="s">
        <v>11</v>
      </c>
      <c r="C168" t="s">
        <v>165</v>
      </c>
      <c r="D168">
        <v>21</v>
      </c>
      <c r="E168" t="s">
        <v>187</v>
      </c>
      <c r="F168">
        <v>1113</v>
      </c>
      <c r="G168">
        <v>962</v>
      </c>
      <c r="H168">
        <v>24</v>
      </c>
      <c r="I168">
        <v>20</v>
      </c>
      <c r="J168">
        <v>8</v>
      </c>
      <c r="K168" t="s">
        <v>204</v>
      </c>
      <c r="L168">
        <v>1</v>
      </c>
    </row>
    <row r="169" spans="1:12" x14ac:dyDescent="0.45">
      <c r="A169" t="s">
        <v>164</v>
      </c>
      <c r="B169" t="s">
        <v>11</v>
      </c>
      <c r="C169" t="s">
        <v>165</v>
      </c>
      <c r="D169">
        <v>22</v>
      </c>
      <c r="E169" t="s">
        <v>188</v>
      </c>
      <c r="F169">
        <v>1067</v>
      </c>
      <c r="G169">
        <v>1009</v>
      </c>
      <c r="H169">
        <v>15</v>
      </c>
      <c r="I169">
        <v>19</v>
      </c>
      <c r="J169">
        <v>12</v>
      </c>
      <c r="K169" t="s">
        <v>204</v>
      </c>
      <c r="L169">
        <v>1</v>
      </c>
    </row>
    <row r="170" spans="1:12" x14ac:dyDescent="0.45">
      <c r="A170" t="s">
        <v>164</v>
      </c>
      <c r="B170" t="s">
        <v>11</v>
      </c>
      <c r="C170" t="s">
        <v>165</v>
      </c>
      <c r="D170">
        <v>23</v>
      </c>
      <c r="E170" t="s">
        <v>189</v>
      </c>
      <c r="F170">
        <v>1320</v>
      </c>
      <c r="G170">
        <v>890</v>
      </c>
      <c r="H170">
        <v>14</v>
      </c>
      <c r="I170">
        <v>22</v>
      </c>
      <c r="J170">
        <v>12</v>
      </c>
      <c r="K170" t="s">
        <v>205</v>
      </c>
      <c r="L170">
        <v>1</v>
      </c>
    </row>
    <row r="171" spans="1:12" x14ac:dyDescent="0.45">
      <c r="A171" t="s">
        <v>164</v>
      </c>
      <c r="B171" t="s">
        <v>11</v>
      </c>
      <c r="C171" t="s">
        <v>165</v>
      </c>
      <c r="D171">
        <v>24</v>
      </c>
      <c r="E171" t="s">
        <v>190</v>
      </c>
      <c r="F171">
        <v>1131</v>
      </c>
      <c r="G171">
        <v>743</v>
      </c>
      <c r="H171">
        <v>20</v>
      </c>
      <c r="I171">
        <v>16</v>
      </c>
      <c r="J171">
        <v>17</v>
      </c>
      <c r="K171" t="s">
        <v>204</v>
      </c>
      <c r="L171">
        <v>1</v>
      </c>
    </row>
    <row r="172" spans="1:12" x14ac:dyDescent="0.45">
      <c r="A172" t="s">
        <v>164</v>
      </c>
      <c r="B172" t="s">
        <v>11</v>
      </c>
      <c r="C172" t="s">
        <v>165</v>
      </c>
      <c r="D172">
        <v>25</v>
      </c>
      <c r="E172" t="s">
        <v>191</v>
      </c>
      <c r="F172">
        <v>900</v>
      </c>
      <c r="G172">
        <v>765</v>
      </c>
      <c r="H172">
        <v>14</v>
      </c>
      <c r="I172">
        <v>19</v>
      </c>
      <c r="J172">
        <v>16</v>
      </c>
      <c r="K172" t="s">
        <v>204</v>
      </c>
      <c r="L172">
        <v>1</v>
      </c>
    </row>
    <row r="173" spans="1:12" x14ac:dyDescent="0.45">
      <c r="A173" t="s">
        <v>164</v>
      </c>
      <c r="B173" t="s">
        <v>11</v>
      </c>
      <c r="C173" t="s">
        <v>165</v>
      </c>
      <c r="D173">
        <v>26</v>
      </c>
      <c r="E173" t="s">
        <v>192</v>
      </c>
      <c r="F173">
        <v>1373</v>
      </c>
      <c r="G173">
        <v>638</v>
      </c>
      <c r="H173">
        <v>17</v>
      </c>
      <c r="I173">
        <v>20</v>
      </c>
      <c r="J173">
        <v>6</v>
      </c>
      <c r="K173" t="s">
        <v>204</v>
      </c>
      <c r="L173">
        <v>1</v>
      </c>
    </row>
    <row r="174" spans="1:12" x14ac:dyDescent="0.45">
      <c r="A174" t="s">
        <v>164</v>
      </c>
      <c r="B174" t="s">
        <v>11</v>
      </c>
      <c r="C174" t="s">
        <v>165</v>
      </c>
      <c r="D174">
        <v>27</v>
      </c>
      <c r="E174" t="s">
        <v>193</v>
      </c>
      <c r="F174">
        <v>907</v>
      </c>
      <c r="G174">
        <v>580</v>
      </c>
      <c r="H174">
        <v>17</v>
      </c>
      <c r="I174">
        <v>16</v>
      </c>
      <c r="J174">
        <v>8</v>
      </c>
      <c r="K174" t="s">
        <v>204</v>
      </c>
      <c r="L174">
        <v>1</v>
      </c>
    </row>
    <row r="175" spans="1:12" x14ac:dyDescent="0.45">
      <c r="A175" t="s">
        <v>164</v>
      </c>
      <c r="B175" t="s">
        <v>11</v>
      </c>
      <c r="C175" t="s">
        <v>165</v>
      </c>
      <c r="D175">
        <v>28</v>
      </c>
      <c r="E175" t="s">
        <v>194</v>
      </c>
      <c r="F175">
        <v>1280</v>
      </c>
      <c r="G175">
        <v>599</v>
      </c>
      <c r="H175">
        <v>13</v>
      </c>
      <c r="I175">
        <v>18</v>
      </c>
      <c r="J175">
        <v>10</v>
      </c>
      <c r="K175" t="s">
        <v>204</v>
      </c>
      <c r="L175">
        <v>1</v>
      </c>
    </row>
    <row r="176" spans="1:12" x14ac:dyDescent="0.45">
      <c r="A176" t="s">
        <v>164</v>
      </c>
      <c r="B176" t="s">
        <v>11</v>
      </c>
      <c r="C176" t="s">
        <v>165</v>
      </c>
      <c r="D176">
        <v>29</v>
      </c>
      <c r="E176" t="s">
        <v>195</v>
      </c>
      <c r="F176">
        <v>940</v>
      </c>
      <c r="G176">
        <v>665</v>
      </c>
      <c r="H176">
        <v>27</v>
      </c>
      <c r="I176">
        <v>25</v>
      </c>
      <c r="J176">
        <v>19</v>
      </c>
      <c r="K176" t="s">
        <v>204</v>
      </c>
      <c r="L176">
        <v>1</v>
      </c>
    </row>
    <row r="177" spans="1:12" x14ac:dyDescent="0.45">
      <c r="A177" t="s">
        <v>164</v>
      </c>
      <c r="B177" t="s">
        <v>11</v>
      </c>
      <c r="C177" t="s">
        <v>165</v>
      </c>
      <c r="D177">
        <v>30</v>
      </c>
      <c r="E177" t="s">
        <v>196</v>
      </c>
      <c r="F177">
        <v>786</v>
      </c>
      <c r="G177">
        <v>708</v>
      </c>
      <c r="H177">
        <v>14</v>
      </c>
      <c r="I177">
        <v>17</v>
      </c>
      <c r="J177">
        <v>17</v>
      </c>
      <c r="K177" t="s">
        <v>204</v>
      </c>
      <c r="L177">
        <v>1</v>
      </c>
    </row>
    <row r="178" spans="1:12" x14ac:dyDescent="0.45">
      <c r="A178" t="s">
        <v>164</v>
      </c>
      <c r="B178" t="s">
        <v>11</v>
      </c>
      <c r="C178" t="s">
        <v>165</v>
      </c>
      <c r="D178">
        <v>31</v>
      </c>
      <c r="E178" t="s">
        <v>197</v>
      </c>
      <c r="F178">
        <v>670</v>
      </c>
      <c r="G178">
        <v>530</v>
      </c>
      <c r="H178">
        <v>26</v>
      </c>
      <c r="I178">
        <v>22</v>
      </c>
      <c r="J178">
        <v>8</v>
      </c>
      <c r="K178" t="s">
        <v>205</v>
      </c>
      <c r="L178">
        <v>1</v>
      </c>
    </row>
    <row r="179" spans="1:12" x14ac:dyDescent="0.45">
      <c r="A179" t="s">
        <v>164</v>
      </c>
      <c r="B179" t="s">
        <v>11</v>
      </c>
      <c r="C179" t="s">
        <v>165</v>
      </c>
      <c r="D179">
        <v>32</v>
      </c>
      <c r="E179" t="s">
        <v>198</v>
      </c>
      <c r="F179">
        <v>1031</v>
      </c>
      <c r="G179">
        <v>169</v>
      </c>
      <c r="H179">
        <v>15</v>
      </c>
      <c r="I179">
        <v>19</v>
      </c>
      <c r="J179">
        <v>1</v>
      </c>
      <c r="K179" t="s">
        <v>204</v>
      </c>
      <c r="L179">
        <v>1</v>
      </c>
    </row>
    <row r="180" spans="1:12" x14ac:dyDescent="0.45">
      <c r="A180" t="s">
        <v>164</v>
      </c>
      <c r="B180" t="s">
        <v>11</v>
      </c>
      <c r="C180" t="s">
        <v>165</v>
      </c>
      <c r="D180">
        <v>33</v>
      </c>
      <c r="E180" t="s">
        <v>199</v>
      </c>
      <c r="F180">
        <v>940</v>
      </c>
      <c r="G180">
        <v>183</v>
      </c>
      <c r="H180">
        <v>19</v>
      </c>
      <c r="I180">
        <v>21</v>
      </c>
      <c r="J180">
        <v>1</v>
      </c>
      <c r="K180" t="s">
        <v>204</v>
      </c>
      <c r="L180">
        <v>1</v>
      </c>
    </row>
    <row r="181" spans="1:12" x14ac:dyDescent="0.45">
      <c r="A181" t="s">
        <v>164</v>
      </c>
      <c r="B181" t="s">
        <v>11</v>
      </c>
      <c r="C181" t="s">
        <v>165</v>
      </c>
      <c r="D181">
        <v>34</v>
      </c>
      <c r="E181" t="s">
        <v>200</v>
      </c>
      <c r="F181">
        <v>682</v>
      </c>
      <c r="G181">
        <v>323</v>
      </c>
      <c r="H181">
        <v>33</v>
      </c>
      <c r="I181">
        <v>20</v>
      </c>
      <c r="J181">
        <v>6</v>
      </c>
      <c r="K181" t="s">
        <v>204</v>
      </c>
      <c r="L181">
        <v>1</v>
      </c>
    </row>
    <row r="182" spans="1:12" x14ac:dyDescent="0.45">
      <c r="A182" t="s">
        <v>164</v>
      </c>
      <c r="B182" t="s">
        <v>11</v>
      </c>
      <c r="C182" t="s">
        <v>165</v>
      </c>
      <c r="D182">
        <v>35</v>
      </c>
      <c r="E182" t="s">
        <v>201</v>
      </c>
      <c r="F182">
        <v>887</v>
      </c>
      <c r="G182">
        <v>402</v>
      </c>
      <c r="H182">
        <v>14</v>
      </c>
      <c r="I182">
        <v>19</v>
      </c>
      <c r="J182">
        <v>21</v>
      </c>
      <c r="K182" t="s">
        <v>204</v>
      </c>
      <c r="L182">
        <v>1</v>
      </c>
    </row>
    <row r="183" spans="1:12" x14ac:dyDescent="0.45">
      <c r="A183" t="s">
        <v>164</v>
      </c>
      <c r="B183" t="s">
        <v>11</v>
      </c>
      <c r="C183" t="s">
        <v>165</v>
      </c>
      <c r="D183">
        <v>36</v>
      </c>
      <c r="E183" t="s">
        <v>202</v>
      </c>
      <c r="F183">
        <v>778</v>
      </c>
      <c r="G183">
        <v>340</v>
      </c>
      <c r="H183">
        <v>18</v>
      </c>
      <c r="I183">
        <v>18</v>
      </c>
      <c r="J183">
        <v>23</v>
      </c>
      <c r="K183" t="s">
        <v>205</v>
      </c>
      <c r="L1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open_forward_backward_count_202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Zeng</cp:lastModifiedBy>
  <dcterms:created xsi:type="dcterms:W3CDTF">2024-12-06T18:48:03Z</dcterms:created>
  <dcterms:modified xsi:type="dcterms:W3CDTF">2025-04-09T17:28:49Z</dcterms:modified>
</cp:coreProperties>
</file>