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Rui_Zeng_Data\Nikon_Minaj_bigdata\20250304_RZ_switch_open_space_2nd\flagella_label_open_space_tracking\"/>
    </mc:Choice>
  </mc:AlternateContent>
  <xr:revisionPtr revIDLastSave="0" documentId="13_ncr:1_{827B8299-7690-4EC7-8512-9CBF9FC60BD0}" xr6:coauthVersionLast="47" xr6:coauthVersionMax="47" xr10:uidLastSave="{00000000-0000-0000-0000-000000000000}"/>
  <bookViews>
    <workbookView xWindow="-98" yWindow="-98" windowWidth="22695" windowHeight="14476" activeTab="7" xr2:uid="{00000000-000D-0000-FFFF-FFFF00000000}"/>
  </bookViews>
  <sheets>
    <sheet name="2.1cP" sheetId="1" r:id="rId1"/>
    <sheet name="2.0cP" sheetId="2" r:id="rId2"/>
    <sheet name="1.9cP" sheetId="3" r:id="rId3"/>
    <sheet name="1.8cP" sheetId="4" r:id="rId4"/>
    <sheet name="1.7cP" sheetId="5" r:id="rId5"/>
    <sheet name="1.6cP" sheetId="6" r:id="rId6"/>
    <sheet name="1.5cP" sheetId="7" r:id="rId7"/>
    <sheet name="1.4cP" sheetId="8" r:id="rId8"/>
    <sheet name="1.3cP" sheetId="9" r:id="rId9"/>
    <sheet name="1.2cP" sheetId="10" r:id="rId10"/>
    <sheet name="1.1cP" sheetId="11" r:id="rId11"/>
    <sheet name="1.0cP" sheetId="12" r:id="rId12"/>
    <sheet name="0.9cP" sheetId="13" r:id="rId13"/>
  </sheets>
  <definedNames>
    <definedName name="_xlnm._FilterDatabase" localSheetId="10" hidden="1">'1.1cP'!$F$1:$F$205</definedName>
    <definedName name="_xlnm._FilterDatabase" localSheetId="8" hidden="1">'1.3cP'!$A$1:$M$204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J3" i="13"/>
  <c r="J2" i="13"/>
  <c r="J4" i="12"/>
  <c r="J3" i="12"/>
  <c r="J2" i="12"/>
  <c r="J4" i="11"/>
  <c r="J3" i="11"/>
  <c r="J2" i="11"/>
  <c r="J4" i="10"/>
  <c r="J3" i="10"/>
  <c r="J2" i="10"/>
  <c r="J4" i="9"/>
  <c r="J3" i="9"/>
  <c r="J2" i="9"/>
  <c r="J4" i="8"/>
  <c r="J3" i="8"/>
  <c r="J2" i="8"/>
  <c r="J4" i="7"/>
  <c r="J3" i="7"/>
  <c r="J2" i="7"/>
  <c r="J4" i="6"/>
  <c r="J3" i="6"/>
  <c r="J2" i="6"/>
  <c r="J4" i="5"/>
  <c r="J3" i="5"/>
  <c r="J2" i="5"/>
  <c r="J4" i="4"/>
  <c r="J3" i="4"/>
  <c r="J2" i="4"/>
  <c r="J4" i="3"/>
  <c r="J3" i="3"/>
  <c r="J2" i="3"/>
  <c r="J4" i="2"/>
  <c r="J3" i="2"/>
  <c r="J2" i="2"/>
  <c r="J4" i="1"/>
  <c r="J2" i="1"/>
  <c r="J3" i="1"/>
  <c r="K2" i="13" l="1"/>
  <c r="L2" i="13" s="1"/>
  <c r="K2" i="12"/>
  <c r="L3" i="12" s="1"/>
  <c r="K2" i="11"/>
  <c r="L2" i="11" s="1"/>
  <c r="K2" i="10"/>
  <c r="L2" i="10" s="1"/>
  <c r="K2" i="9"/>
  <c r="L3" i="9" s="1"/>
  <c r="K2" i="8"/>
  <c r="L2" i="8" s="1"/>
  <c r="K2" i="7"/>
  <c r="L2" i="7" s="1"/>
  <c r="K2" i="6"/>
  <c r="L2" i="6" s="1"/>
  <c r="K2" i="5"/>
  <c r="L2" i="5" s="1"/>
  <c r="K2" i="4"/>
  <c r="L3" i="4" s="1"/>
  <c r="K2" i="3"/>
  <c r="L2" i="3" s="1"/>
  <c r="K2" i="2"/>
  <c r="L2" i="2" s="1"/>
  <c r="K2" i="1"/>
  <c r="L3" i="1" s="1"/>
  <c r="L2" i="1" l="1"/>
  <c r="M2" i="1" s="1"/>
  <c r="L3" i="2"/>
  <c r="M2" i="2" s="1"/>
  <c r="L3" i="3"/>
  <c r="M2" i="3" s="1"/>
  <c r="L3" i="13"/>
  <c r="M2" i="13" s="1"/>
  <c r="L2" i="12"/>
  <c r="M2" i="12" s="1"/>
  <c r="L3" i="11"/>
  <c r="M2" i="11" s="1"/>
  <c r="L3" i="10"/>
  <c r="M2" i="10" s="1"/>
  <c r="L2" i="9"/>
  <c r="M2" i="9" s="1"/>
  <c r="L3" i="8"/>
  <c r="M2" i="8" s="1"/>
  <c r="L3" i="7"/>
  <c r="M2" i="7" s="1"/>
  <c r="L3" i="6"/>
  <c r="M2" i="6" s="1"/>
  <c r="L3" i="5"/>
  <c r="M2" i="5" s="1"/>
  <c r="L2" i="4"/>
  <c r="M2" i="4" s="1"/>
</calcChain>
</file>

<file path=xl/sharedStrings.xml><?xml version="1.0" encoding="utf-8"?>
<sst xmlns="http://schemas.openxmlformats.org/spreadsheetml/2006/main" count="6347" uniqueCount="810">
  <si>
    <t>tif_name</t>
  </si>
  <si>
    <t>J16_0001.nd2</t>
  </si>
  <si>
    <t>cP</t>
  </si>
  <si>
    <t>frame</t>
  </si>
  <si>
    <t>ROI_index</t>
  </si>
  <si>
    <t>F</t>
  </si>
  <si>
    <t>direction(F/B/unknown)</t>
  </si>
  <si>
    <t>U</t>
  </si>
  <si>
    <t>notes(see flagella at Frame xxx)</t>
  </si>
  <si>
    <t>Out_of_focus</t>
  </si>
  <si>
    <t>Flagella_not_labeled</t>
  </si>
  <si>
    <t>Go_out_of_field</t>
  </si>
  <si>
    <t>T355</t>
  </si>
  <si>
    <t>T201</t>
  </si>
  <si>
    <t>T233</t>
  </si>
  <si>
    <t>weight</t>
  </si>
  <si>
    <t>category</t>
  </si>
  <si>
    <t>sum</t>
  </si>
  <si>
    <t>B</t>
  </si>
  <si>
    <t>sum_F+B</t>
  </si>
  <si>
    <t>T209</t>
  </si>
  <si>
    <t>T401</t>
  </si>
  <si>
    <t>T252</t>
  </si>
  <si>
    <t>T107</t>
  </si>
  <si>
    <t>T137</t>
  </si>
  <si>
    <t>T214</t>
  </si>
  <si>
    <t>T171</t>
  </si>
  <si>
    <t>T412</t>
  </si>
  <si>
    <t>T422</t>
  </si>
  <si>
    <t>T417</t>
  </si>
  <si>
    <t>T617</t>
  </si>
  <si>
    <t>T447</t>
  </si>
  <si>
    <t>T441</t>
  </si>
  <si>
    <t>T411</t>
  </si>
  <si>
    <t>T397</t>
  </si>
  <si>
    <t>T418</t>
  </si>
  <si>
    <t>T654</t>
  </si>
  <si>
    <t>T383</t>
  </si>
  <si>
    <t>T470</t>
  </si>
  <si>
    <t>T887</t>
  </si>
  <si>
    <t>T818</t>
  </si>
  <si>
    <t>T815</t>
  </si>
  <si>
    <t>T752</t>
  </si>
  <si>
    <t>T879</t>
  </si>
  <si>
    <t>T787</t>
  </si>
  <si>
    <t>T778</t>
  </si>
  <si>
    <t>T795</t>
  </si>
  <si>
    <t>T850</t>
  </si>
  <si>
    <t>T1196</t>
  </si>
  <si>
    <t>T1206</t>
  </si>
  <si>
    <t>T1210</t>
  </si>
  <si>
    <t>T1207</t>
  </si>
  <si>
    <t>T1199</t>
  </si>
  <si>
    <t>T1148</t>
  </si>
  <si>
    <t>T1238</t>
  </si>
  <si>
    <t>T1239</t>
  </si>
  <si>
    <t>T1217</t>
  </si>
  <si>
    <t>T1230</t>
  </si>
  <si>
    <t>T1240</t>
  </si>
  <si>
    <t>T1234</t>
  </si>
  <si>
    <t>T1203</t>
  </si>
  <si>
    <t>T1602</t>
  </si>
  <si>
    <t>T1603</t>
  </si>
  <si>
    <t>T1591</t>
  </si>
  <si>
    <t>T1615</t>
  </si>
  <si>
    <t>T1599</t>
  </si>
  <si>
    <t>T1568</t>
  </si>
  <si>
    <t>J16_0003.nd2</t>
  </si>
  <si>
    <t>J18_0001.nd2</t>
  </si>
  <si>
    <t>T29</t>
  </si>
  <si>
    <t>T11_Switch, T32_Backward</t>
  </si>
  <si>
    <t>T58</t>
  </si>
  <si>
    <t>T160</t>
  </si>
  <si>
    <t>T41</t>
  </si>
  <si>
    <t>T60</t>
  </si>
  <si>
    <t>T110</t>
  </si>
  <si>
    <t>T413</t>
  </si>
  <si>
    <t>T433</t>
  </si>
  <si>
    <t>T443</t>
  </si>
  <si>
    <t>T453</t>
  </si>
  <si>
    <t>T364</t>
  </si>
  <si>
    <t>T468</t>
  </si>
  <si>
    <t>T582</t>
  </si>
  <si>
    <t>T410</t>
  </si>
  <si>
    <t>T835</t>
  </si>
  <si>
    <t>T770</t>
  </si>
  <si>
    <t>T910</t>
  </si>
  <si>
    <t>T844</t>
  </si>
  <si>
    <t>T802</t>
  </si>
  <si>
    <t>T904</t>
  </si>
  <si>
    <t>T793</t>
  </si>
  <si>
    <t>T871</t>
  </si>
  <si>
    <t>T1180</t>
  </si>
  <si>
    <t>T1223</t>
  </si>
  <si>
    <t>T1110</t>
  </si>
  <si>
    <t>T1294</t>
  </si>
  <si>
    <t>T1267</t>
  </si>
  <si>
    <t>T1771</t>
  </si>
  <si>
    <t>T1633</t>
  </si>
  <si>
    <t>T1517</t>
  </si>
  <si>
    <t>T1675</t>
  </si>
  <si>
    <t>T1642</t>
  </si>
  <si>
    <t>T1606</t>
  </si>
  <si>
    <t>T1600</t>
  </si>
  <si>
    <t>J20_0001.nd2</t>
  </si>
  <si>
    <t>T4</t>
  </si>
  <si>
    <t>T178</t>
  </si>
  <si>
    <t>T240</t>
  </si>
  <si>
    <t>T1</t>
  </si>
  <si>
    <t>T51</t>
  </si>
  <si>
    <t>T91</t>
  </si>
  <si>
    <t>T14</t>
  </si>
  <si>
    <t>T140</t>
  </si>
  <si>
    <t>T392</t>
  </si>
  <si>
    <t>T393</t>
  </si>
  <si>
    <t>T39</t>
  </si>
  <si>
    <t>T547</t>
  </si>
  <si>
    <t>T461</t>
  </si>
  <si>
    <t>T403</t>
  </si>
  <si>
    <t>T402</t>
  </si>
  <si>
    <t>T291</t>
  </si>
  <si>
    <t>T434</t>
  </si>
  <si>
    <t>T455</t>
  </si>
  <si>
    <t>T431</t>
  </si>
  <si>
    <t>T475</t>
  </si>
  <si>
    <t>T389</t>
  </si>
  <si>
    <t>T344</t>
  </si>
  <si>
    <t>T831</t>
  </si>
  <si>
    <t>T841</t>
  </si>
  <si>
    <t>T812</t>
  </si>
  <si>
    <t>T810</t>
  </si>
  <si>
    <t>T741</t>
  </si>
  <si>
    <t>T1252</t>
  </si>
  <si>
    <t>T959</t>
  </si>
  <si>
    <t>T1332</t>
  </si>
  <si>
    <t>T1266</t>
  </si>
  <si>
    <t>T1412</t>
  </si>
  <si>
    <t>T1248</t>
  </si>
  <si>
    <t>T1249</t>
  </si>
  <si>
    <t>T1601</t>
  </si>
  <si>
    <t>T1650</t>
  </si>
  <si>
    <t>T1672</t>
  </si>
  <si>
    <t>T1553</t>
  </si>
  <si>
    <t>T1607</t>
  </si>
  <si>
    <t>T1613</t>
  </si>
  <si>
    <t>T1694</t>
  </si>
  <si>
    <t>Labeled_F1201_Index6</t>
  </si>
  <si>
    <t>T1751</t>
  </si>
  <si>
    <t>T1721</t>
  </si>
  <si>
    <t>T1786</t>
  </si>
  <si>
    <t>fraction</t>
  </si>
  <si>
    <t>SE_of_proportion</t>
  </si>
  <si>
    <t>J22_0001.nd2</t>
  </si>
  <si>
    <t>T34</t>
  </si>
  <si>
    <t>T34, SwitchT50</t>
  </si>
  <si>
    <t>T37</t>
  </si>
  <si>
    <t>T106</t>
  </si>
  <si>
    <t>T516</t>
  </si>
  <si>
    <t>T589</t>
  </si>
  <si>
    <t>T613</t>
  </si>
  <si>
    <t>T391</t>
  </si>
  <si>
    <t>T384</t>
  </si>
  <si>
    <t>T790</t>
  </si>
  <si>
    <t>T829</t>
  </si>
  <si>
    <t>T839</t>
  </si>
  <si>
    <t>T823</t>
  </si>
  <si>
    <t>T824</t>
  </si>
  <si>
    <t>T825</t>
  </si>
  <si>
    <t>T742</t>
  </si>
  <si>
    <t>T873</t>
  </si>
  <si>
    <t>further_notes</t>
  </si>
  <si>
    <t>Clear_label</t>
  </si>
  <si>
    <t>T814</t>
  </si>
  <si>
    <t>T955</t>
  </si>
  <si>
    <t>T886, Switch_T891</t>
  </si>
  <si>
    <t>T759</t>
  </si>
  <si>
    <t>T828</t>
  </si>
  <si>
    <t>T1285</t>
  </si>
  <si>
    <t>T1204</t>
  </si>
  <si>
    <t>T1404</t>
  </si>
  <si>
    <t>T1208</t>
  </si>
  <si>
    <t>T1270</t>
  </si>
  <si>
    <t>T1283</t>
  </si>
  <si>
    <t>T1315</t>
  </si>
  <si>
    <t>T1244</t>
  </si>
  <si>
    <t>T1301</t>
  </si>
  <si>
    <t>T1227</t>
  </si>
  <si>
    <t>T1205</t>
  </si>
  <si>
    <t>T1170</t>
  </si>
  <si>
    <t>T1136</t>
  </si>
  <si>
    <t>T1571</t>
  </si>
  <si>
    <t>T1592</t>
  </si>
  <si>
    <t>T1643</t>
  </si>
  <si>
    <t>T1588</t>
  </si>
  <si>
    <t>T1635</t>
  </si>
  <si>
    <t>T1601, Switch_T1602</t>
  </si>
  <si>
    <t>T1679</t>
  </si>
  <si>
    <t>T1638</t>
  </si>
  <si>
    <t>T1608</t>
  </si>
  <si>
    <t>T1580</t>
  </si>
  <si>
    <t>T1515</t>
  </si>
  <si>
    <t>T1624</t>
  </si>
  <si>
    <t>T1655</t>
  </si>
  <si>
    <t>T1490</t>
  </si>
  <si>
    <t>T1712</t>
  </si>
  <si>
    <t>K4_0001.nd2</t>
  </si>
  <si>
    <t>T9</t>
  </si>
  <si>
    <t>T36</t>
  </si>
  <si>
    <t>T11</t>
  </si>
  <si>
    <t>T47</t>
  </si>
  <si>
    <t>T48</t>
  </si>
  <si>
    <t>T49</t>
  </si>
  <si>
    <t>T460</t>
  </si>
  <si>
    <t>T439</t>
  </si>
  <si>
    <t>T405</t>
  </si>
  <si>
    <t>T408</t>
  </si>
  <si>
    <t>T360</t>
  </si>
  <si>
    <t>T809</t>
  </si>
  <si>
    <t>T804</t>
  </si>
  <si>
    <t>T805</t>
  </si>
  <si>
    <t>T806</t>
  </si>
  <si>
    <t>T867</t>
  </si>
  <si>
    <t>T856</t>
  </si>
  <si>
    <t>T1241</t>
  </si>
  <si>
    <t>T1216_switch_F-B,T1245_switch_B-F, T1290_switch_F-B, T1322_B</t>
  </si>
  <si>
    <t>T1226</t>
  </si>
  <si>
    <t>T1202</t>
  </si>
  <si>
    <t>T1220</t>
  </si>
  <si>
    <t>T1156</t>
  </si>
  <si>
    <t>T1172_B, T1164_switch_F-B, T1156_F</t>
  </si>
  <si>
    <t>T1190</t>
  </si>
  <si>
    <t>T1764</t>
  </si>
  <si>
    <t>T1542</t>
  </si>
  <si>
    <t>T1583</t>
  </si>
  <si>
    <t>T1593</t>
  </si>
  <si>
    <t>T1639</t>
  </si>
  <si>
    <t>K6_0001.nd2</t>
  </si>
  <si>
    <t>T6_switch_B-F, T161_F</t>
  </si>
  <si>
    <t>T6</t>
  </si>
  <si>
    <t>T3</t>
  </si>
  <si>
    <t>T2</t>
  </si>
  <si>
    <t>T59_switch_F-B, T73_switch_B-F, T90_F</t>
  </si>
  <si>
    <t>T406</t>
  </si>
  <si>
    <t>T388</t>
  </si>
  <si>
    <t>T407</t>
  </si>
  <si>
    <t>T409</t>
  </si>
  <si>
    <t>T404</t>
  </si>
  <si>
    <t>T437</t>
  </si>
  <si>
    <t>T396_F, T403_switch_F-B</t>
  </si>
  <si>
    <t>T769</t>
  </si>
  <si>
    <t>T813</t>
  </si>
  <si>
    <t>T803</t>
  </si>
  <si>
    <t>T789</t>
  </si>
  <si>
    <t>T785</t>
  </si>
  <si>
    <t>T824_switch_F-B, T855_B</t>
  </si>
  <si>
    <t>T738</t>
  </si>
  <si>
    <t>T779_F, T793_switch_F-B, T797_switch_B-F, T810_F</t>
  </si>
  <si>
    <t>T845</t>
  </si>
  <si>
    <t>T832</t>
  </si>
  <si>
    <t>T774</t>
  </si>
  <si>
    <t>T763</t>
  </si>
  <si>
    <t>T853</t>
  </si>
  <si>
    <t xml:space="preserve">T1191_F, T1197_switch_F-B, </t>
  </si>
  <si>
    <t xml:space="preserve">T1168_F, T1191_switch_F-B, </t>
  </si>
  <si>
    <t>T1598</t>
  </si>
  <si>
    <t xml:space="preserve">T1579_B, T1585_switch_B-F, </t>
  </si>
  <si>
    <t>T1584</t>
  </si>
  <si>
    <t>T1585</t>
  </si>
  <si>
    <t>T1621</t>
  </si>
  <si>
    <t xml:space="preserve">T1617_switch_B-F, T1628_F, </t>
  </si>
  <si>
    <t>K7_0001.nd2</t>
  </si>
  <si>
    <t>T8_switch_B-F, T9_F</t>
  </si>
  <si>
    <t>T40</t>
  </si>
  <si>
    <t>T70</t>
  </si>
  <si>
    <t>T90</t>
  </si>
  <si>
    <t xml:space="preserve">T18_switch_F-B, T37_switch_B-F, T64_F, </t>
  </si>
  <si>
    <t>T420</t>
  </si>
  <si>
    <t>T400</t>
  </si>
  <si>
    <t xml:space="preserve">T387_B, T390_switch_B-F, </t>
  </si>
  <si>
    <t>T833</t>
  </si>
  <si>
    <t xml:space="preserve">T1199_F, T1203_switch_F-B </t>
  </si>
  <si>
    <t>T1195</t>
  </si>
  <si>
    <t>T1250_switch_F-B, T1252_B</t>
  </si>
  <si>
    <t>T1193_F</t>
  </si>
  <si>
    <t>T1272</t>
  </si>
  <si>
    <t>K5_0001.nd2</t>
  </si>
  <si>
    <t>T64</t>
  </si>
  <si>
    <t>T396</t>
  </si>
  <si>
    <t>T370</t>
  </si>
  <si>
    <t>T402_switch_B-F, T450_F</t>
  </si>
  <si>
    <t xml:space="preserve">T688_B, T701_switch_B-F, T748_switch_F-B, T817_switch_B-F, </t>
  </si>
  <si>
    <t xml:space="preserve">T818_switch_F-B, T834_switch_B-F, T846_F, </t>
  </si>
  <si>
    <t>T848</t>
  </si>
  <si>
    <t xml:space="preserve">T661_F, T664_SW_F-B, T704_SW_B-F, T718_F, T754_SW-F-B, T766_B, T793_SW_B-F, T807_SW_F-B, </t>
  </si>
  <si>
    <t xml:space="preserve">T769_SW_B-F, T819_SW_F-B, T911_B, </t>
  </si>
  <si>
    <t>T916</t>
  </si>
  <si>
    <t>Slow</t>
  </si>
  <si>
    <t xml:space="preserve">T1172_B, T1184_SW_B-F, </t>
  </si>
  <si>
    <t>T1231</t>
  </si>
  <si>
    <t>T1215</t>
  </si>
  <si>
    <t>T1212</t>
  </si>
  <si>
    <t xml:space="preserve">T1139_B, T1149_SW_B-F, T1165_SW_F-B, T1178_SW_B-F, T1185_F, </t>
  </si>
  <si>
    <t xml:space="preserve">T1132_B, T1161_SW_B-F, T1194_SW_F-B, </t>
  </si>
  <si>
    <t xml:space="preserve">T1591_SW_F-B, T1629_SW_B-F, T1696_F, </t>
  </si>
  <si>
    <t>T1626</t>
  </si>
  <si>
    <t>T1610</t>
  </si>
  <si>
    <t xml:space="preserve">T1569_B, T1586_SW_B-F, </t>
  </si>
  <si>
    <t>T1609</t>
  </si>
  <si>
    <t xml:space="preserve">T1578_B, T1603_SW-B-F, </t>
  </si>
  <si>
    <t>T1614</t>
  </si>
  <si>
    <t xml:space="preserve">T1573_F, T1588_SW_F-B, T1606_SW_B-F, </t>
  </si>
  <si>
    <t>T1508</t>
  </si>
  <si>
    <t>K3_0001.nd2</t>
  </si>
  <si>
    <t xml:space="preserve">T31_SW_B-F, T53_SW_F-B, T62_B, </t>
  </si>
  <si>
    <t>T16</t>
  </si>
  <si>
    <t>T18</t>
  </si>
  <si>
    <t>T19</t>
  </si>
  <si>
    <t>T22</t>
  </si>
  <si>
    <t>T8</t>
  </si>
  <si>
    <t>T20</t>
  </si>
  <si>
    <t>T21</t>
  </si>
  <si>
    <t>T27</t>
  </si>
  <si>
    <t>T5_SW_F-B, T31_B</t>
  </si>
  <si>
    <t>T476</t>
  </si>
  <si>
    <t>T800</t>
  </si>
  <si>
    <t xml:space="preserve">T786_F, T804_SW_F-B, </t>
  </si>
  <si>
    <t>T785_F</t>
  </si>
  <si>
    <t>T817</t>
  </si>
  <si>
    <t>T816_SW_B-F, T829_F</t>
  </si>
  <si>
    <t>T821</t>
  </si>
  <si>
    <t>T1201</t>
  </si>
  <si>
    <t>T1203_SW_B-F, T1257_F</t>
  </si>
  <si>
    <t xml:space="preserve">T1186_F, T1196_SW_F-B, </t>
  </si>
  <si>
    <t xml:space="preserve">T1186_F, T1212_SW_F-B, </t>
  </si>
  <si>
    <t>T1214</t>
  </si>
  <si>
    <t>T1223_SW_F-B, T1245_SW_B-F, T1297_F</t>
  </si>
  <si>
    <t>T1211</t>
  </si>
  <si>
    <t xml:space="preserve">T971_B_Clear, T1046_SW_B-F, T1134_SW_F-B, T1153_SW_B-F, </t>
  </si>
  <si>
    <t>T1229</t>
  </si>
  <si>
    <t xml:space="preserve">T1176_F, T1190_SW_F-B, </t>
  </si>
  <si>
    <t>T1604</t>
  </si>
  <si>
    <t xml:space="preserve">T1613_B, T1614_SW_B-F, </t>
  </si>
  <si>
    <t>T1575</t>
  </si>
  <si>
    <t xml:space="preserve">T1568_B, T1604_SW_B-F, </t>
  </si>
  <si>
    <t>T1627_SW_F-B, T1648_SW_B-F, T1708_SW_F-B, T1725_SW_B-F, T1744_F_Clear</t>
  </si>
  <si>
    <t>T1623</t>
  </si>
  <si>
    <t xml:space="preserve">T1604_SW_F-B, </t>
  </si>
  <si>
    <t>T1636</t>
  </si>
  <si>
    <t xml:space="preserve">T1575_B, T1605_SW_B-F, </t>
  </si>
  <si>
    <t>T1669</t>
  </si>
  <si>
    <t xml:space="preserve">T1572_F_Clear, T1599_SW_F-B, T1622_SW_B-F, T1637_SW_F-B, T1657_SW_B-F, T1692_F, </t>
  </si>
  <si>
    <t>J21_0001.nd2</t>
  </si>
  <si>
    <t>T24</t>
  </si>
  <si>
    <t>T26</t>
  </si>
  <si>
    <t>T211</t>
  </si>
  <si>
    <t xml:space="preserve">T12_SW_B-F, T51_SW_F-B, T54_SW_B-F, T69_F, T72_SW_F-B, </t>
  </si>
  <si>
    <t xml:space="preserve">T421_SW_F-B, T439_SW_B-F, T490_F, </t>
  </si>
  <si>
    <t>T386</t>
  </si>
  <si>
    <t>T801</t>
  </si>
  <si>
    <t>T811</t>
  </si>
  <si>
    <t>T784</t>
  </si>
  <si>
    <t>T1164</t>
  </si>
  <si>
    <t>T1088_B, T1124_SW_B-F, T1135_SW_F-B, T1190_SW_B-F, T1215_SW_F-B, T1232_B</t>
  </si>
  <si>
    <t>T1211_SW_B-F, T1223_F</t>
  </si>
  <si>
    <t>T1209</t>
  </si>
  <si>
    <t>T1186_SW_F-B, T1205_SW_B-F, T1215_F</t>
  </si>
  <si>
    <t>T1233</t>
  </si>
  <si>
    <t>T1262</t>
  </si>
  <si>
    <t>T1375_F</t>
  </si>
  <si>
    <t>T1622</t>
  </si>
  <si>
    <t>T1644</t>
  </si>
  <si>
    <t>T1596</t>
  </si>
  <si>
    <t>T1552_F_Clear, T1562_SW_F-B, T1608_SW_B-F, T1629_F_Clear</t>
  </si>
  <si>
    <t>T1632</t>
  </si>
  <si>
    <t xml:space="preserve">T1494_B, T1584_SW_B-F, T1644_SW_F-B, </t>
  </si>
  <si>
    <t>T1616_SW_B-F, T1626_F</t>
  </si>
  <si>
    <t>T1614_SW_F-B, T1628_SW_B-F, T1639_F_Clear</t>
  </si>
  <si>
    <t>T1597_SW_B-F, T1653_F</t>
  </si>
  <si>
    <t>T1566</t>
  </si>
  <si>
    <t>J19_0001.nd2</t>
  </si>
  <si>
    <t>T54_SW_F-B, T82_B, T83_SW_B-F, T95_SW_F-B, T106_B, T129_SW_B-F, T141_F</t>
  </si>
  <si>
    <t>Abnormal_curved</t>
  </si>
  <si>
    <t>T17_F</t>
  </si>
  <si>
    <t>T22_SW_B-F, T72_SW_F-B, T83_SW_B-F, T101_F, T107_SW_F-B, T115_B</t>
  </si>
  <si>
    <t>T18_SW_B-F, T46_F</t>
  </si>
  <si>
    <t>T19_SW_F-B, T34_B_Clear</t>
  </si>
  <si>
    <t>T9_F, T10_SW_F-B</t>
  </si>
  <si>
    <t>T29_SW_F-B, T39_SW_B-F, T66_F, T70_SW_F-B, T75_B</t>
  </si>
  <si>
    <t xml:space="preserve">T431_B, T436_SW_B-F, </t>
  </si>
  <si>
    <t>T392_SW_B-F, T402_F, T403_SW_F-B</t>
  </si>
  <si>
    <t xml:space="preserve">T428_SW_F-B, T446_SW_B-F, T462_SW_F-B, T489_B, T490_SW_B-F, </t>
  </si>
  <si>
    <t>T390</t>
  </si>
  <si>
    <t>T391_SW_F-B, T409_SW_B-F, T464_F_Clear</t>
  </si>
  <si>
    <t>T414</t>
  </si>
  <si>
    <t>T390_SW_F-B, T405_SW_B-F, T446_F_Clear</t>
  </si>
  <si>
    <t>T352_SW_F-B, T374_B_Clear, T376_SW_B-F, Out_field</t>
  </si>
  <si>
    <t>T394</t>
  </si>
  <si>
    <t>T385_F, T405_SW_F-B, T426_SW_B-F, T438_F, T440_SW_F-B, Out_field</t>
  </si>
  <si>
    <t>T413_B</t>
  </si>
  <si>
    <t>T372_B, T389_SW_B-F, Out_field</t>
  </si>
  <si>
    <t>T816</t>
  </si>
  <si>
    <t>T796</t>
  </si>
  <si>
    <t>T782_B, T791_SW_B-F, Out_field</t>
  </si>
  <si>
    <t>T798</t>
  </si>
  <si>
    <t>T706_B, T732_SW_B-F, T741_SW_F-B, T781_SW_B-F, T802_SW_F-B, T832_SW_B-F, T848_F, Out_field</t>
  </si>
  <si>
    <t>T95</t>
  </si>
  <si>
    <t>T794</t>
  </si>
  <si>
    <t>T791</t>
  </si>
  <si>
    <t>T753_F, T800_SW_F-B, T838_SW_B-F, Out_focus</t>
  </si>
  <si>
    <t xml:space="preserve">T755_B_Clear, T771_SW_B-F, T779_F_Clear, T821_SW_F-B, T845_SW_B-F, T856_F, </t>
  </si>
  <si>
    <t>T797</t>
  </si>
  <si>
    <t>T607_F, T611_SW_F-B, T616_B, T639_SW_B-F, T672_SW_F-B, T693_SW_B-F, T749_SW_F-B, T772_SW_B-F, Out_focus</t>
  </si>
  <si>
    <t>T1222</t>
  </si>
  <si>
    <t>T1236</t>
  </si>
  <si>
    <t>T1237</t>
  </si>
  <si>
    <t xml:space="preserve">T1235_F, T1236_SW_F-B, </t>
  </si>
  <si>
    <t>T1188</t>
  </si>
  <si>
    <t>T1213</t>
  </si>
  <si>
    <t xml:space="preserve">T1222_F, T1223_SW_F-B, </t>
  </si>
  <si>
    <t>T1192</t>
  </si>
  <si>
    <t>T1182</t>
  </si>
  <si>
    <t>T1198</t>
  </si>
  <si>
    <t>T1229_F</t>
  </si>
  <si>
    <t>T1616</t>
  </si>
  <si>
    <t>T1587</t>
  </si>
  <si>
    <t>T1550_F</t>
  </si>
  <si>
    <t>T1612</t>
  </si>
  <si>
    <t>T1611</t>
  </si>
  <si>
    <t>Index28 in frame1201</t>
  </si>
  <si>
    <t>T1582</t>
  </si>
  <si>
    <t>T1581</t>
  </si>
  <si>
    <t>J17_0001.nd2</t>
  </si>
  <si>
    <t>T5</t>
  </si>
  <si>
    <t>T8_SW_B-F, T10_F</t>
  </si>
  <si>
    <t>T13_SW_F-B, T34_B</t>
  </si>
  <si>
    <t>T24_SW_F-B, T51_B</t>
  </si>
  <si>
    <t>T4_SW_B-F, T13_F</t>
  </si>
  <si>
    <t xml:space="preserve">T23_SW_F-B, T49_SW_B-F, T71_F, </t>
  </si>
  <si>
    <t xml:space="preserve">T378_SW_B-F, T404_SW_F-B, T422_B, </t>
  </si>
  <si>
    <t xml:space="preserve">T400_B, T402_SW_B-F, </t>
  </si>
  <si>
    <t xml:space="preserve">T355_B, T363_SW_B-F, T406_SW_F-B, </t>
  </si>
  <si>
    <t xml:space="preserve">T380_SW_F-B, T442_B, </t>
  </si>
  <si>
    <t xml:space="preserve">T342_SW_F-B, T410_SW_B-F, T468_F, </t>
  </si>
  <si>
    <t>T424</t>
  </si>
  <si>
    <t xml:space="preserve">T362_F, T369_SW_F-B, T387_SW_B-F, </t>
  </si>
  <si>
    <t xml:space="preserve">T390_F, T411_SW_F-B, </t>
  </si>
  <si>
    <t xml:space="preserve">T394_F, T412_SW_F-B, T425_B, </t>
  </si>
  <si>
    <t xml:space="preserve">T391_F, T399_SW_F-B, T418_SW_B-F, T456_F, </t>
  </si>
  <si>
    <t xml:space="preserve">T418_SW_F-B, T433_B, </t>
  </si>
  <si>
    <t xml:space="preserve">T386_B, </t>
  </si>
  <si>
    <t>T427</t>
  </si>
  <si>
    <t xml:space="preserve">T349_F, T396_SW_F-B, T416_SW_B-F, </t>
  </si>
  <si>
    <t xml:space="preserve">T364_F, </t>
  </si>
  <si>
    <t xml:space="preserve">T783_SW_B-F, T812_SW_F-B, T819_B, </t>
  </si>
  <si>
    <t>T864</t>
  </si>
  <si>
    <t>T782</t>
  </si>
  <si>
    <t xml:space="preserve">T786_B, T797_SW_B-F, T815_SW_F-B, </t>
  </si>
  <si>
    <t xml:space="preserve">T809_SW_B-F, T814_F, </t>
  </si>
  <si>
    <t xml:space="preserve">T787_B, T810_SW_B-F, </t>
  </si>
  <si>
    <t xml:space="preserve">T799_F, T802_SW_F-B, </t>
  </si>
  <si>
    <t>T670_F, T737_SW_F-B, T766_SW_B-F, T833_SW_F-B, T850_SW_B-F, T868_SW_F-B, T896_SW_B-F, T918_SW_F-B, Out_field</t>
  </si>
  <si>
    <t>T788</t>
  </si>
  <si>
    <t xml:space="preserve">T763_B, T777_SW_B-F, </t>
  </si>
  <si>
    <t>T1190_SW_F-B, T1196_B</t>
  </si>
  <si>
    <t xml:space="preserve">T1197_F, T1213_SW_F-B, </t>
  </si>
  <si>
    <t>T1191</t>
  </si>
  <si>
    <t>T1255</t>
  </si>
  <si>
    <t>T1219</t>
  </si>
  <si>
    <t>T1191_SW_F-B, T1214_B, T1228_SW_B-F, T1234_F</t>
  </si>
  <si>
    <t>T1080_F, T1093_SW_F-B, T1126_SW_B-F, T1296_F, T1303_SW_F-B, T1309_B, Out_field</t>
  </si>
  <si>
    <t>T1187_F_Clear, T1189_SW_F-B, T1190_B_Clear, Out_field</t>
  </si>
  <si>
    <t xml:space="preserve">T1184_F, T1213_SW_F-B, </t>
  </si>
  <si>
    <t>J15_0001.nd2</t>
  </si>
  <si>
    <t>T1670_B</t>
  </si>
  <si>
    <t>T1572</t>
  </si>
  <si>
    <t>T1555</t>
  </si>
  <si>
    <t>T1590</t>
  </si>
  <si>
    <t>T1545</t>
  </si>
  <si>
    <t xml:space="preserve">T1589_B, T1600_SW_B-F, </t>
  </si>
  <si>
    <t>T1576</t>
  </si>
  <si>
    <t>T1605</t>
  </si>
  <si>
    <t>T102</t>
  </si>
  <si>
    <t>T1181</t>
  </si>
  <si>
    <t>T1197</t>
  </si>
  <si>
    <t>T1202_SW_F-B, T1214_B_Clear</t>
  </si>
  <si>
    <t>T1224</t>
  </si>
  <si>
    <t>T1200</t>
  </si>
  <si>
    <t xml:space="preserve">T1228_SW_F-B, T1237_SW_B-F, T1247_SW_F-B, T1260_SW_B-F, T1277_F, </t>
  </si>
  <si>
    <t>T1193</t>
  </si>
  <si>
    <t xml:space="preserve">T1216_SW_F-B, T1240_SW_B-F, T1256_F, </t>
  </si>
  <si>
    <t xml:space="preserve">T1076_B, </t>
  </si>
  <si>
    <t>T1178</t>
  </si>
  <si>
    <t>T1143</t>
  </si>
  <si>
    <t>T1225</t>
  </si>
  <si>
    <t>T1216</t>
  </si>
  <si>
    <t>T719</t>
  </si>
  <si>
    <t>T773</t>
  </si>
  <si>
    <t>T830</t>
  </si>
  <si>
    <t>T781</t>
  </si>
  <si>
    <t xml:space="preserve">_Out_Focus, T858_SW_B-F, T884_F_Clear, </t>
  </si>
  <si>
    <t>T1068</t>
  </si>
  <si>
    <t>T768</t>
  </si>
  <si>
    <t>T807</t>
  </si>
  <si>
    <t>T840</t>
  </si>
  <si>
    <t xml:space="preserve">T832_SW_F-B, T844_B, </t>
  </si>
  <si>
    <t xml:space="preserve">T818_SW_B-F, T844_F, </t>
  </si>
  <si>
    <t>T776</t>
  </si>
  <si>
    <t>T421</t>
  </si>
  <si>
    <t>T897</t>
  </si>
  <si>
    <t>T385</t>
  </si>
  <si>
    <t>T349</t>
  </si>
  <si>
    <t>T395</t>
  </si>
  <si>
    <t xml:space="preserve">T355_B_Clear, T396_SW_B-F, T404_SW_F-B, </t>
  </si>
  <si>
    <t>T435</t>
  </si>
  <si>
    <t>T416</t>
  </si>
  <si>
    <t xml:space="preserve">T327_F, T330_SW_F-B, T335_B, T399_SW_B-F, </t>
  </si>
  <si>
    <t>J19_0003.nd2</t>
  </si>
  <si>
    <t>_Out_field, T1340_F_Clear, T1436_SW_F-B, T1454_B_Clear, T1510_SW_B-F, T1547_SW_F-B, T1596_SW_B-F, T1624_F, Out_focus</t>
  </si>
  <si>
    <t>_Out_focus, T684_F_Clear, T725_SW_F-B, T737_SW_B-F, T749_F, T770_SW_F-B, T818_SW_B-F, Out_focus</t>
  </si>
  <si>
    <t>_Out_focus, T673_F, T678_SW_F-B,  T700_SW_B-F, T791_SW_F-B, T820_SW_B-F, T835_F, Out_focus</t>
  </si>
  <si>
    <t>_Out_field, T1079_F, T1092_SW_F-B, T1115_SW_B-F, T1170_F, T1175_SW_F-B, T1179_B, T1191_SW_B-F, Out_field</t>
  </si>
  <si>
    <t>_Out_field, T1225_F, T1229_SW_F-B, T1235_B, T1265_SW_B-F, T1276_F, Out_focus</t>
  </si>
  <si>
    <t>_Out_field, T1178_SW_B-F, T1217_SW_F-B, T1233_B, T1280_SW_B-F, T1308_SW_F-B, T1376_SW_B-F, T1428_F, T1429_SW_F-B, T1440_SW_B-F, T1451_F, T1472_SW_F-B, T1488_B_Clear, T1491_SW_B-F, Out_focus</t>
  </si>
  <si>
    <t>_Out_field, T1207_B, T1232_SW_B-F, T1255_F, T1268_SW_F-B, T1275_B, T1343_SW_B-F, Out_field</t>
  </si>
  <si>
    <t>_Out_focus, T1083_F, T1093_SW_F-B, T1129_SW_B-F, T1149_F, T1482_SW_F-B, T1531_SW_B-F, T1785_SW_F-B, T1841_SW_B-F, T1849_SW_F-B, T1886_SW_B-F, T1959_F, Out_field</t>
  </si>
  <si>
    <t>_Out_field, T1574_SW_F-B, T1587_SW_B-F, T1601_SW_F-B, T1616_SW_B-F, T1633_SW_F-B, T1649_SW_B-F, T1653_F, Out_field</t>
  </si>
  <si>
    <t>_Out_focus, T1542_F, T1571_SW_F-B, T1616_SW_B-F, T1654_F_Clear, Out_field</t>
  </si>
  <si>
    <t>_Out_field, T1549_F_Clear, T1586_SW_F-B, T1614_SW_B-F, T1654_F_clear, T1658_SW_F-B, T1661_B_Clear, T1697_SW_B-F, T1747_F_Clear, T1762_SW_F-B, T1788_SW_B-F, T1800_F_Clear, Out_field</t>
  </si>
  <si>
    <t>_Out_field, T1391_SW_F-B, T1414_SW_B-F, T1450_SW_F-B, T1481_B, T1502_SW_B-F, T1526_F, T1539_SW_F-B, T1552_B, T1555_SW_B-F, T1565_F, T1609_SW_F-B, T1665_SW_B-F, Out_field</t>
  </si>
  <si>
    <t>_Out_focus, T1213_F, T1295_SW_F-B, T1304_B, T1319_SW_B-F, T1332_F, T1408_SW_F-B, T1447_SW_B-F, T1453_F, T1510_SW_F-B, T1535_B, T1536_SW_B-F, T1537_F, Out_field</t>
  </si>
  <si>
    <t>T1589</t>
  </si>
  <si>
    <t>T1618</t>
  </si>
  <si>
    <t>T1597</t>
  </si>
  <si>
    <t xml:space="preserve">T1596_F_Clear, T1603_SW_F-B, </t>
  </si>
  <si>
    <t>T1660</t>
  </si>
  <si>
    <t>T1577</t>
  </si>
  <si>
    <t xml:space="preserve">T1604_SW_B-F, T1617_F, </t>
  </si>
  <si>
    <t>T1561</t>
  </si>
  <si>
    <t>T1541</t>
  </si>
  <si>
    <t xml:space="preserve">T1556_B_Clear, T1565_SW_B-F, T1699_SW_F-B, </t>
  </si>
  <si>
    <t>J21_0003.nd2</t>
  </si>
  <si>
    <t>J22_0003.nd2</t>
  </si>
  <si>
    <t>T1799</t>
  </si>
  <si>
    <t xml:space="preserve">_Out_field, T1583_F, T1643_F-B, T1660_SW_B-F, T1706_F, </t>
  </si>
  <si>
    <t>_Out_focus, T1586_SW_F-B, T1587_B, T1603_SW_B-F, _Out_focus</t>
  </si>
  <si>
    <t xml:space="preserve">T1637_SW_F-B, T1654_B_Clear, </t>
  </si>
  <si>
    <t xml:space="preserve">T1541_B, </t>
  </si>
  <si>
    <t>_Out_focus, T1620_F, T1621_SW_F-B, _Out_focus</t>
  </si>
  <si>
    <t>_Out_focus, T1556_F, T1660_SW_F-B, T1685_SW_B-F, T1701_F, _Out_focus</t>
  </si>
  <si>
    <t>_Out_field, T1119_SW_B-F, T1152_F, T1153_SW_F-B, _Out_field</t>
  </si>
  <si>
    <t>T1187</t>
  </si>
  <si>
    <t>T1221</t>
  </si>
  <si>
    <t xml:space="preserve">_Out_field, T1222_B, T1223_SW_B-F, T1246_SW_F-B, T1257_SW_B-F, _Out_field, </t>
  </si>
  <si>
    <t>T1061_F_Clear, T1083_SW_F-B, T1111_SW_B-F, T1123_SW_F-B, T1143_SW_B-F, T1166_SW_F-B, T1167_B, T1201_SW_B-F, T1220_SW_F-B, T1234_B, T1237_SW_B-F, T1243_F, T1252_SW_F-B, T1260_B, T1273_SW_B-F, T1289_F, T1299_SW_F-B, T1303_B, T1315_SW_B-F, T1336_F, T1338_SW_F-B, T1354_SW_B-F, T1363_F, T1388_SW_F-B, T1399_SW_B-F, T1412_SW_F-B, _Out_focus</t>
  </si>
  <si>
    <t xml:space="preserve">_Out_focus, T1225_SW_F-B, T1244_SW_B-F, T1269_F, </t>
  </si>
  <si>
    <t xml:space="preserve">_Out_focus, T1204_B, T1205_SW_B-F, _Out_field, </t>
  </si>
  <si>
    <t>T1174</t>
  </si>
  <si>
    <t>T799</t>
  </si>
  <si>
    <t xml:space="preserve">_Out_focus, T715_B, T721_SW_B-F, T725_F, T734_SW_F-B, T755_SW_B-F, T763_SW_F-B, T773_SW_B-F, T804_SW_F-B, T837_SW_B-F, T863_F, T870_SW_F-B, T881_SW_B-F, T901_SW_F-B, T910_SW_B-F, T921_F, T944_SW_F-B, T963_SW_B-F, T973_F, _Out_focus, </t>
  </si>
  <si>
    <t xml:space="preserve">T802_SW_B-F, T814_F </t>
  </si>
  <si>
    <t xml:space="preserve">T782_F, T860_F, T865_SW_F-B, T868_B, </t>
  </si>
  <si>
    <t xml:space="preserve">T795_F, T798_SW_F-B, T801_B, </t>
  </si>
  <si>
    <t xml:space="preserve">_Out_focus, T385_F, T399_SW_F-B, T423_SW_B-F, T450_F, T455_SW_F-B, T458_B, </t>
  </si>
  <si>
    <t xml:space="preserve">T422_F, T424_SW_F-B, </t>
  </si>
  <si>
    <t xml:space="preserve">T369_F_Clear, T409_SW_F-B, T416_B, </t>
  </si>
  <si>
    <t>T7</t>
  </si>
  <si>
    <t>T12</t>
  </si>
  <si>
    <t xml:space="preserve">T13_SW_B-F, T43_F, </t>
  </si>
  <si>
    <t>T15</t>
  </si>
  <si>
    <t>T27_SW_B-F, T92_SW_F-B, T97_SW_B-F, T108_F, _Out_focus</t>
  </si>
  <si>
    <t>K3_0003.nd2</t>
  </si>
  <si>
    <t xml:space="preserve">T1604_SW_F-B, T1607_B, </t>
  </si>
  <si>
    <t xml:space="preserve">_Out_field, T1607_SW_F-B, T1640_SW_B-F, T1716_SW_F-B, T1746_SW_B-F, T1790_SW_F-B, T1810_B, T1846_SW_B-F, T1872_F, T1972_SW_F-B, T1975_B, </t>
  </si>
  <si>
    <t xml:space="preserve">_Out_focus, T1403_F, T1422_SW_F-B, T1441_SW_B-F, T1455_F, T1471_SW_F-B, T1488_SW_B-F, T1494_F, T1521_SW_F-B, T1535_B, T1542_SW_B-F, T1593_F, T1595_SW_F-B, T1611_SW_B-F, T1620_F, _Out_focus, </t>
  </si>
  <si>
    <t xml:space="preserve">T1561_F, T1574_SW_F-B, T1606_SW_B-F, _Out_focus, </t>
  </si>
  <si>
    <t>T1263</t>
  </si>
  <si>
    <t>T1290</t>
  </si>
  <si>
    <t xml:space="preserve">_Out_focus, T1104_SW_F-B, T1126_B, T1143_SW_B-F, T1160_F, T1195_SW_F-B, T1220_SW_B-F, T1230_SW_F-B, T1254_SW_B-F, T1270_F, T1305_SW_F-B, T1346_B, T1363_SW_B-F, T1401_F, _Out_field, </t>
  </si>
  <si>
    <t xml:space="preserve">T1185_B, T1186_SW_B-F, </t>
  </si>
  <si>
    <t xml:space="preserve">_Out_field, T1160_B, T1174_SW_B-F, T1200_SW_F-B, T1237_SW_B-F, T1272_F, _Out_focus, </t>
  </si>
  <si>
    <t xml:space="preserve">_Out_field, T1153_F, T1158_SW_F-B, T1163_B, T1198_SW_B-F, T1236_F_Clear, T1262_SW_F-B, T1283_SW_B-F, T1314_SW_F-B, T1326_B_Clear, T1349_SW_B-F, T1360_F_Clear, _Out_field, </t>
  </si>
  <si>
    <t xml:space="preserve">T1135_F,T1181_SW_F-B, T1216_SW_B-F,  </t>
  </si>
  <si>
    <t xml:space="preserve">_Out_field, T1238_SW_B-F, T1266_F, T1303_SW_F-B, T1320_SW_B-F, T1353_SW_F-B, T1365_B_Clear, T1371_SW_B-F, T1426_F, T1432_SW_F-B, T1448_SW_B-F, T1469_SW_F-B, T1478_B, T1480_SW_B-F, T1497_F, T1509_SW_F-B, T1518_B_Clear, T1523_SW_B-F_Clear, T1527_F_Clear, _Out_focus, </t>
  </si>
  <si>
    <t xml:space="preserve">_Out_focus, T639_F, T680_SW_F-B, T681_B, T753_SW_B-F, T775_F, T777_SW_F-B, T796_SW_B-F, T807_SW_F-B, _Out_field, </t>
  </si>
  <si>
    <t>T697</t>
  </si>
  <si>
    <t xml:space="preserve">_Out_focus, T715_B, T715_B-F, T740_SW_F-B, T773_SW_B-F, T783_F, T788_SW_F-B, T790_B, T799_SW_B-F, T825_SW_F-B, T847_SW_B-F, T856_F, T870_SW_F-B, T885_B, T895_SW_B-F, _Out_field, </t>
  </si>
  <si>
    <t xml:space="preserve">T833_SW_F-B, T846_B_Clear, </t>
  </si>
  <si>
    <t xml:space="preserve">T721_B, T723_SW_B-F, T762_SW_F-B, T803_SW_B-F, T835_F, </t>
  </si>
  <si>
    <t>STOP</t>
  </si>
  <si>
    <t>K5_0003.nd2</t>
  </si>
  <si>
    <t>T1554</t>
  </si>
  <si>
    <t>T1564</t>
  </si>
  <si>
    <t xml:space="preserve">T1595_B_Clear, T1600_SW_B-F, </t>
  </si>
  <si>
    <t>T1218</t>
  </si>
  <si>
    <t>T1112</t>
  </si>
  <si>
    <t>T834</t>
  </si>
  <si>
    <t>T777</t>
  </si>
  <si>
    <t xml:space="preserve">T781_F, T818_SW_F-B, </t>
  </si>
  <si>
    <t>T753</t>
  </si>
  <si>
    <t xml:space="preserve">T442_SW_F-B, T465_B, T475_SW_B-F, T499_SW_F-B, T519_B, T531_SW_B-F, </t>
  </si>
  <si>
    <t xml:space="preserve">T397_B, T401_SW_B-F, </t>
  </si>
  <si>
    <t>T82</t>
  </si>
  <si>
    <t>T73</t>
  </si>
  <si>
    <t>K7_0003.nd2</t>
  </si>
  <si>
    <t>T1637</t>
  </si>
  <si>
    <t>T1617_SW_F-B, T1644_B</t>
  </si>
  <si>
    <t xml:space="preserve">_Out_focus, T1377_F, T1382_SW_F-B, T1435_SW_B-F, T1449_F, T1461_SW_F-B, T1464_B, T1525_SW_B-F, T1540_F, T1569_SW_F-B, T1575_B, T1598_SW_B-F, T1625_SW_F-B, T1651_SW_B-F, T1678_F, _Out_field, </t>
  </si>
  <si>
    <t xml:space="preserve">T1179_B_Clear, T1192_SW_B-F, T1210_F, T1218_SW_F-B, </t>
  </si>
  <si>
    <t xml:space="preserve">T1199_B_Clear, T1202_SW_B-F, </t>
  </si>
  <si>
    <t xml:space="preserve">T1230_F, T1232_SW_F-B, </t>
  </si>
  <si>
    <t xml:space="preserve">_Out_field, T1118_F, T1135_SW_F-B, T1150_B, T1168_SW_B-F, T1216_SW_F-B, T1243_SW_B-F, T1293_F, T1358_SW_F-B, T1378_B, T1391_SW_B-F, _Out_field, </t>
  </si>
  <si>
    <t xml:space="preserve">_Out_field, T1166_F, T1191_SW_F-B, T1209_B, T1227_SW_B-F, T1243_F, T1247_SW_F-B, _Out_field, </t>
  </si>
  <si>
    <t>T734</t>
  </si>
  <si>
    <t xml:space="preserve">T850_F, </t>
  </si>
  <si>
    <t>T429</t>
  </si>
  <si>
    <t>T362</t>
  </si>
  <si>
    <t>T372</t>
  </si>
  <si>
    <t xml:space="preserve">T465_SW_F-B, T494_B_Clear, </t>
  </si>
  <si>
    <t xml:space="preserve">T7_SW_B-F, T20_F_Clear, </t>
  </si>
  <si>
    <t xml:space="preserve">T34_B, </t>
  </si>
  <si>
    <t>K7_0002.nd2</t>
  </si>
  <si>
    <t xml:space="preserve">T1610_F, T1611_SW_F-B, </t>
  </si>
  <si>
    <t xml:space="preserve">T1584_B, T1600_SW_B-F, T1608_F, </t>
  </si>
  <si>
    <t xml:space="preserve">T1193_B_Clear, T1201_SW_B-F, T1209_F_Clear, </t>
  </si>
  <si>
    <t>T1194</t>
  </si>
  <si>
    <t xml:space="preserve">T1171_F, T1174_SW_F-B, </t>
  </si>
  <si>
    <t xml:space="preserve">T1186_B, T1197_SW_B-F, T1208_F_Clear, </t>
  </si>
  <si>
    <t>T1153</t>
  </si>
  <si>
    <t>T1176</t>
  </si>
  <si>
    <t>T764</t>
  </si>
  <si>
    <t xml:space="preserve">T764_F, </t>
  </si>
  <si>
    <t>T765</t>
  </si>
  <si>
    <t>T378</t>
  </si>
  <si>
    <t>T465</t>
  </si>
  <si>
    <t>T602</t>
  </si>
  <si>
    <t xml:space="preserve">T28_F_Clear, </t>
  </si>
  <si>
    <t xml:space="preserve">T14_SW_B-F, T83_F, </t>
  </si>
  <si>
    <t>T89</t>
  </si>
  <si>
    <t xml:space="preserve">T192_F, T203_SW_F-B, </t>
  </si>
  <si>
    <t xml:space="preserve">T204_SW_B-F, T238_F, </t>
  </si>
  <si>
    <t xml:space="preserve">T209_B_Clear, T213_SW_B-F, </t>
  </si>
  <si>
    <t>T590</t>
  </si>
  <si>
    <t>T607</t>
  </si>
  <si>
    <t>T692</t>
  </si>
  <si>
    <t>T598</t>
  </si>
  <si>
    <t>T600</t>
  </si>
  <si>
    <t xml:space="preserve">_Out_focus, T677_SW_F-B, T719_SW_B-F, T767_F, _Out_field, </t>
  </si>
  <si>
    <t xml:space="preserve">T976_B_Clear, T982_SW_B-F, T997_F, </t>
  </si>
  <si>
    <t>T1005</t>
  </si>
  <si>
    <t>T1065</t>
  </si>
  <si>
    <t>T998</t>
  </si>
  <si>
    <t>T989</t>
  </si>
  <si>
    <t>_Out_field, T955_F, T1009_SW_F-B, T1065_SW_B-F, T1111_F, _Flagella_attach</t>
  </si>
  <si>
    <t>T1401</t>
  </si>
  <si>
    <t>T1393</t>
  </si>
  <si>
    <t>T1785</t>
  </si>
  <si>
    <t>T1810</t>
  </si>
  <si>
    <t xml:space="preserve">T1788_SW_F-B, T1826_B, </t>
  </si>
  <si>
    <t>K6_0003.nd2</t>
  </si>
  <si>
    <t xml:space="preserve">_Out_field, T1576_F, T1588_SW_F-B, _Out_field, </t>
  </si>
  <si>
    <t xml:space="preserve">T1539_F, </t>
  </si>
  <si>
    <t>Attached</t>
  </si>
  <si>
    <t xml:space="preserve">T1594_F, </t>
  </si>
  <si>
    <t>T1617</t>
  </si>
  <si>
    <t xml:space="preserve">_Out_focus, T1239_F, T1240_SW_F-B, T1291_SW_B-F, T1296_F, _Out_focus, </t>
  </si>
  <si>
    <t xml:space="preserve">T1189_B, T1208_SW_F-B, </t>
  </si>
  <si>
    <t xml:space="preserve">_Out_focus, T1225_F, T1227_SW_F-B, T1230_B_Clear, T1302_SW_B-F, T1319_SW_F-B, _Out_field, </t>
  </si>
  <si>
    <t xml:space="preserve">_Out_focus, T775_B, T785_SW_B-F, T808_SW_F-B, T820_B, T850_SW_B-F, </t>
  </si>
  <si>
    <t xml:space="preserve">_Out_focus, T605_F, T616_SW_F-B, T626_B, T655_SW_B-F, T701_SW_F-B, T713_B, T762_SW_B-F, T787_F, T807_SW_F-B, T880_SW_B-F, T920_F, T948_SW_F-B, T998_B, T1056_SW_B-F, T1097_SW_F-B, T1208_B, _Out_focus, </t>
  </si>
  <si>
    <t xml:space="preserve">_Out_field, T810_SW_F-B, T865_B_Clear, T904_SW_B-F, T933_F_Clear, T978_SW_F-B, T999_B, T1005_SW_B-F, T1013_F_Clear, T1034_SW_F-B, T1063_SW_B-F, T1112_SW_F-B, T1143_SW_B-F, T1166_SW_F-B, T1188_SW_B-F, _Out_field, </t>
  </si>
  <si>
    <t xml:space="preserve">T785_B, T795_SW_B-F, T803_SW_F-B, T816_SW_B-F, </t>
  </si>
  <si>
    <t>T399</t>
  </si>
  <si>
    <t xml:space="preserve">T376_B, T382_SW_B-F, _Out_field, </t>
  </si>
  <si>
    <t xml:space="preserve">T402_B, T403_SW_B-F, </t>
  </si>
  <si>
    <t xml:space="preserve">T347_F, T381_SW_F-B, </t>
  </si>
  <si>
    <t>T363</t>
  </si>
  <si>
    <t xml:space="preserve">T389_F, T391_SW_F-B, T419_B, </t>
  </si>
  <si>
    <t xml:space="preserve">T390_F, T391_SW_F-B, </t>
  </si>
  <si>
    <t xml:space="preserve">T383_SW_B-F, T390_F, </t>
  </si>
  <si>
    <t xml:space="preserve">T391_B, T403_SW_B-F, </t>
  </si>
  <si>
    <t>K4_0003.nd2</t>
  </si>
  <si>
    <t xml:space="preserve">_Out_field, T1520_SW_B-F, T1547_F, T1553_SW_F-B, T1589_B, T1613_SW_B-F, T1636_SW_F-B, _Out_focus, </t>
  </si>
  <si>
    <t>T1690</t>
  </si>
  <si>
    <t>T1492_F</t>
  </si>
  <si>
    <t xml:space="preserve">T1554_F, T1557_F-B, T1562_B, T1603_SW_B-F, T1627_F, </t>
  </si>
  <si>
    <t xml:space="preserve">T1109_B, T1115_SW_B-F, T1117_F, _Out_field, </t>
  </si>
  <si>
    <t xml:space="preserve">T1237_SW_F-B, T1320_B_Clear, </t>
  </si>
  <si>
    <t>T1277</t>
  </si>
  <si>
    <t>T808</t>
  </si>
  <si>
    <t xml:space="preserve">T808_B, T809_SW_B-F, </t>
  </si>
  <si>
    <t>T822</t>
  </si>
  <si>
    <t>T779</t>
  </si>
  <si>
    <t>T398</t>
  </si>
  <si>
    <t xml:space="preserve">_Out_field, T423_SW_B-F, T444_F, </t>
  </si>
  <si>
    <t>T10</t>
  </si>
  <si>
    <t>T57</t>
  </si>
  <si>
    <t>T53</t>
  </si>
  <si>
    <t>T52</t>
  </si>
  <si>
    <t>K4_0002.nd2</t>
  </si>
  <si>
    <t xml:space="preserve">_Out_field, T1557_SW_B-F, T1559_F, T1577_F-B, T1578_B, T1669_SW_B-F, T1690_SW_F-B, _Out_focus, </t>
  </si>
  <si>
    <t xml:space="preserve">T1573_B, T1579_SW_B-F, T1599_F, </t>
  </si>
  <si>
    <t xml:space="preserve">_Out_field, T1647_SW_F-B, T1668_B, T1695_SW_B-F, T1704_F, _Out_focus, </t>
  </si>
  <si>
    <t>T1595</t>
  </si>
  <si>
    <t xml:space="preserve">T1167_B, T1204_SW_B-F, </t>
  </si>
  <si>
    <t>T1162</t>
  </si>
  <si>
    <t>T981</t>
  </si>
  <si>
    <t>T1256</t>
  </si>
  <si>
    <t>T1154</t>
  </si>
  <si>
    <t>T1246</t>
  </si>
  <si>
    <t xml:space="preserve">T781_F, T784_SW_F-B, T811_SW_B-F, </t>
  </si>
  <si>
    <t>T780</t>
  </si>
  <si>
    <t>T1015</t>
  </si>
  <si>
    <t>T1652</t>
  </si>
  <si>
    <t xml:space="preserve">T1182_F, T1185_SW_F-B, </t>
  </si>
  <si>
    <t xml:space="preserve">T1115_B, T1125_SW_B-F, T1137_F, T1178_SW_F-B, T1219_SW_B-F, T1263_F_Clear, </t>
  </si>
  <si>
    <t>T1296</t>
  </si>
  <si>
    <t>T709</t>
  </si>
  <si>
    <t>T827</t>
  </si>
  <si>
    <t>T826</t>
  </si>
  <si>
    <t xml:space="preserve">_Out_focus, T860_SW_F-B, T869_SW_B-F, T883_SW_F-B, T902_B, T916_SW_B-F, _Out_field, </t>
  </si>
  <si>
    <t>T836</t>
  </si>
  <si>
    <t xml:space="preserve">T796_F, T800_SW_F-B, </t>
  </si>
  <si>
    <t>T522</t>
  </si>
  <si>
    <t>T359</t>
  </si>
  <si>
    <t>T353</t>
  </si>
  <si>
    <t>T458</t>
  </si>
  <si>
    <t>T376</t>
  </si>
  <si>
    <t>T347</t>
  </si>
  <si>
    <t xml:space="preserve">T1_F_Clear, T2_SW_F-B, T6_B_Clear, </t>
  </si>
  <si>
    <t xml:space="preserve">T13_SW_F-B, T61_SW_B-F, T68_F, _Out_focus, </t>
  </si>
  <si>
    <t xml:space="preserve">T11_SW_B-F, T36_F, </t>
  </si>
  <si>
    <t>T13</t>
  </si>
  <si>
    <t>J20_0003.nd2</t>
  </si>
  <si>
    <t>T1556</t>
  </si>
  <si>
    <t>T1653</t>
  </si>
  <si>
    <t>T1722</t>
  </si>
  <si>
    <t>T1539</t>
  </si>
  <si>
    <t>T1235</t>
  </si>
  <si>
    <t>T1284</t>
  </si>
  <si>
    <t>T771</t>
  </si>
  <si>
    <t>T861</t>
  </si>
  <si>
    <t>T862</t>
  </si>
  <si>
    <t>T1138</t>
  </si>
  <si>
    <t>T358</t>
  </si>
  <si>
    <t>T379</t>
  </si>
  <si>
    <t>J20_0002.nd2</t>
  </si>
  <si>
    <t>T1709</t>
  </si>
  <si>
    <t>T1527</t>
  </si>
  <si>
    <t>T1133</t>
  </si>
  <si>
    <t>T1096</t>
  </si>
  <si>
    <t>T846</t>
  </si>
  <si>
    <t>Brownian</t>
  </si>
  <si>
    <t>T646</t>
  </si>
  <si>
    <t>T870</t>
  </si>
  <si>
    <t>T375</t>
  </si>
  <si>
    <t>T428</t>
  </si>
  <si>
    <t>T313</t>
  </si>
  <si>
    <t>T380</t>
  </si>
  <si>
    <t>T448</t>
  </si>
  <si>
    <t>T271</t>
  </si>
  <si>
    <t>J18_0003.nd2</t>
  </si>
  <si>
    <t>T1538</t>
  </si>
  <si>
    <t>T1543</t>
  </si>
  <si>
    <t>T1567</t>
  </si>
  <si>
    <t>T1630</t>
  </si>
  <si>
    <t>T1702</t>
  </si>
  <si>
    <t>T1491</t>
  </si>
  <si>
    <t>T1185</t>
  </si>
  <si>
    <t>T1189</t>
  </si>
  <si>
    <t>T1352</t>
  </si>
  <si>
    <t>T1152</t>
  </si>
  <si>
    <t>T911</t>
  </si>
  <si>
    <t xml:space="preserve">T508_F, T812_SW_F-B, T854_SW_B-F, T884_F, </t>
  </si>
  <si>
    <t>T744</t>
  </si>
  <si>
    <t>T747</t>
  </si>
  <si>
    <t>T772</t>
  </si>
  <si>
    <t>T377</t>
  </si>
  <si>
    <t>T342</t>
  </si>
  <si>
    <t>T477</t>
  </si>
  <si>
    <t>T63</t>
  </si>
  <si>
    <t>T55</t>
  </si>
  <si>
    <t>J18_0002.nd2</t>
  </si>
  <si>
    <t>T1620</t>
  </si>
  <si>
    <t>T1619</t>
  </si>
  <si>
    <t>T1697</t>
  </si>
  <si>
    <t>T1080</t>
  </si>
  <si>
    <t>T731</t>
  </si>
  <si>
    <t>T673</t>
  </si>
  <si>
    <t>T245</t>
  </si>
  <si>
    <t>T531</t>
  </si>
  <si>
    <t>T267</t>
  </si>
  <si>
    <t>T459</t>
  </si>
  <si>
    <t>T1691</t>
  </si>
  <si>
    <t>T1533</t>
  </si>
  <si>
    <t>Abnormal</t>
  </si>
  <si>
    <t>T1551</t>
  </si>
  <si>
    <t>T1354</t>
  </si>
  <si>
    <t>T783</t>
  </si>
  <si>
    <t>T947</t>
  </si>
  <si>
    <t>T843</t>
  </si>
  <si>
    <t>T700</t>
  </si>
  <si>
    <t>T761</t>
  </si>
  <si>
    <t>T374</t>
  </si>
  <si>
    <t>T640</t>
  </si>
  <si>
    <t>T524</t>
  </si>
  <si>
    <t>T387</t>
  </si>
  <si>
    <t>T339</t>
  </si>
  <si>
    <t>T239</t>
  </si>
  <si>
    <t>T456</t>
  </si>
  <si>
    <t xml:space="preserve">T11_SW_B-F, T22_F,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</si>
</sst>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workbookViewId="0">
      <pane ySplit="3" topLeftCell="A126" activePane="bottomLeft" state="frozen"/>
      <selection pane="bottomLeft" activeCell="D144" sqref="D144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2.1</v>
      </c>
      <c r="B2" t="s">
        <v>1</v>
      </c>
      <c r="C2">
        <v>1</v>
      </c>
      <c r="D2">
        <v>1</v>
      </c>
      <c r="E2" t="s">
        <v>5</v>
      </c>
      <c r="H2">
        <v>1</v>
      </c>
      <c r="I2" t="s">
        <v>5</v>
      </c>
      <c r="J2">
        <f>COUNTIFS(E:E,"*F*",H:H,1)</f>
        <v>103</v>
      </c>
      <c r="K2">
        <f>J2+J3</f>
        <v>104</v>
      </c>
      <c r="L2">
        <f>J2/K2</f>
        <v>0.99038461538461542</v>
      </c>
      <c r="M2">
        <f>SQRT(L2*L3/K2)</f>
        <v>9.5690451427038539E-3</v>
      </c>
    </row>
    <row r="3" spans="1:13" x14ac:dyDescent="0.45">
      <c r="A3">
        <v>2.1</v>
      </c>
      <c r="B3" t="s">
        <v>1</v>
      </c>
      <c r="C3">
        <v>1</v>
      </c>
      <c r="D3">
        <v>2</v>
      </c>
      <c r="E3" t="s">
        <v>5</v>
      </c>
      <c r="H3">
        <v>1</v>
      </c>
      <c r="I3" t="s">
        <v>18</v>
      </c>
      <c r="J3">
        <f>COUNTIFS(E:E,"*B*",H:H,1)</f>
        <v>1</v>
      </c>
      <c r="L3">
        <f>J3/K2</f>
        <v>9.6153846153846159E-3</v>
      </c>
    </row>
    <row r="4" spans="1:13" x14ac:dyDescent="0.45">
      <c r="A4">
        <v>2.1</v>
      </c>
      <c r="B4" t="s">
        <v>1</v>
      </c>
      <c r="C4">
        <v>1</v>
      </c>
      <c r="D4">
        <v>3</v>
      </c>
      <c r="E4" t="s">
        <v>5</v>
      </c>
      <c r="H4">
        <v>1</v>
      </c>
      <c r="I4" t="s">
        <v>7</v>
      </c>
      <c r="J4">
        <f>COUNTIFS(E:E,"*U*",H:H,1)</f>
        <v>39</v>
      </c>
    </row>
    <row r="5" spans="1:13" x14ac:dyDescent="0.45">
      <c r="A5">
        <v>2.1</v>
      </c>
      <c r="B5" t="s">
        <v>1</v>
      </c>
      <c r="C5">
        <v>1</v>
      </c>
      <c r="D5">
        <v>4</v>
      </c>
      <c r="E5" t="s">
        <v>7</v>
      </c>
      <c r="F5" t="s">
        <v>9</v>
      </c>
      <c r="H5">
        <v>1</v>
      </c>
    </row>
    <row r="6" spans="1:13" x14ac:dyDescent="0.45">
      <c r="A6">
        <v>2.1</v>
      </c>
      <c r="B6" t="s">
        <v>1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2.1</v>
      </c>
      <c r="B7" t="s">
        <v>1</v>
      </c>
      <c r="C7">
        <v>1</v>
      </c>
      <c r="D7">
        <v>6</v>
      </c>
      <c r="E7" t="s">
        <v>5</v>
      </c>
      <c r="H7">
        <v>1</v>
      </c>
    </row>
    <row r="8" spans="1:13" x14ac:dyDescent="0.45">
      <c r="A8">
        <v>2.1</v>
      </c>
      <c r="B8" t="s">
        <v>1</v>
      </c>
      <c r="C8">
        <v>1</v>
      </c>
      <c r="D8">
        <v>7</v>
      </c>
      <c r="E8" t="s">
        <v>7</v>
      </c>
      <c r="F8" t="s">
        <v>10</v>
      </c>
      <c r="H8">
        <v>1</v>
      </c>
    </row>
    <row r="9" spans="1:13" x14ac:dyDescent="0.45">
      <c r="A9">
        <v>2.1</v>
      </c>
      <c r="B9" t="s">
        <v>1</v>
      </c>
      <c r="C9">
        <v>1</v>
      </c>
      <c r="D9">
        <v>8</v>
      </c>
      <c r="E9" t="s">
        <v>5</v>
      </c>
      <c r="H9">
        <v>1</v>
      </c>
    </row>
    <row r="10" spans="1:13" x14ac:dyDescent="0.45">
      <c r="A10">
        <v>2.1</v>
      </c>
      <c r="B10" t="s">
        <v>1</v>
      </c>
      <c r="C10">
        <v>1</v>
      </c>
      <c r="D10">
        <v>9</v>
      </c>
      <c r="E10" t="s">
        <v>7</v>
      </c>
      <c r="F10" t="s">
        <v>9</v>
      </c>
      <c r="H10">
        <v>1</v>
      </c>
    </row>
    <row r="11" spans="1:13" x14ac:dyDescent="0.45">
      <c r="A11">
        <v>2.1</v>
      </c>
      <c r="B11" t="s">
        <v>1</v>
      </c>
      <c r="C11">
        <v>1</v>
      </c>
      <c r="D11">
        <v>10</v>
      </c>
      <c r="E11" t="s">
        <v>5</v>
      </c>
      <c r="H11">
        <v>1</v>
      </c>
    </row>
    <row r="12" spans="1:13" x14ac:dyDescent="0.45">
      <c r="A12">
        <v>2.1</v>
      </c>
      <c r="B12" t="s">
        <v>1</v>
      </c>
      <c r="C12">
        <v>1</v>
      </c>
      <c r="D12">
        <v>11</v>
      </c>
      <c r="E12" t="s">
        <v>7</v>
      </c>
      <c r="F12" t="s">
        <v>11</v>
      </c>
      <c r="H12">
        <v>1</v>
      </c>
    </row>
    <row r="13" spans="1:13" x14ac:dyDescent="0.45">
      <c r="A13">
        <v>2.1</v>
      </c>
      <c r="B13" t="s">
        <v>1</v>
      </c>
      <c r="C13">
        <v>1</v>
      </c>
      <c r="D13">
        <v>12</v>
      </c>
      <c r="E13" t="s">
        <v>5</v>
      </c>
      <c r="H13">
        <v>1</v>
      </c>
    </row>
    <row r="14" spans="1:13" x14ac:dyDescent="0.45">
      <c r="A14">
        <v>2.1</v>
      </c>
      <c r="B14" t="s">
        <v>1</v>
      </c>
      <c r="C14">
        <v>201</v>
      </c>
      <c r="D14">
        <v>1</v>
      </c>
      <c r="E14" t="s">
        <v>5</v>
      </c>
      <c r="H14">
        <v>1</v>
      </c>
    </row>
    <row r="15" spans="1:13" x14ac:dyDescent="0.45">
      <c r="A15">
        <v>2.1</v>
      </c>
      <c r="B15" t="s">
        <v>1</v>
      </c>
      <c r="C15">
        <v>201</v>
      </c>
      <c r="D15">
        <v>2</v>
      </c>
      <c r="E15" t="s">
        <v>5</v>
      </c>
      <c r="H15">
        <v>1</v>
      </c>
    </row>
    <row r="16" spans="1:13" x14ac:dyDescent="0.45">
      <c r="A16">
        <v>2.1</v>
      </c>
      <c r="B16" t="s">
        <v>1</v>
      </c>
      <c r="C16">
        <v>201</v>
      </c>
      <c r="D16">
        <v>3</v>
      </c>
      <c r="E16" t="s">
        <v>7</v>
      </c>
      <c r="F16" t="s">
        <v>10</v>
      </c>
      <c r="H16">
        <v>1</v>
      </c>
    </row>
    <row r="17" spans="1:8" x14ac:dyDescent="0.45">
      <c r="A17">
        <v>2.1</v>
      </c>
      <c r="B17" t="s">
        <v>1</v>
      </c>
      <c r="C17">
        <v>201</v>
      </c>
      <c r="D17">
        <v>4</v>
      </c>
      <c r="E17" t="s">
        <v>7</v>
      </c>
      <c r="F17" t="s">
        <v>11</v>
      </c>
      <c r="H17">
        <v>1</v>
      </c>
    </row>
    <row r="18" spans="1:8" x14ac:dyDescent="0.45">
      <c r="A18">
        <v>2.1</v>
      </c>
      <c r="B18" t="s">
        <v>1</v>
      </c>
      <c r="C18">
        <v>201</v>
      </c>
      <c r="D18">
        <v>5</v>
      </c>
      <c r="E18" t="s">
        <v>5</v>
      </c>
      <c r="F18" t="s">
        <v>12</v>
      </c>
      <c r="H18">
        <v>1</v>
      </c>
    </row>
    <row r="19" spans="1:8" x14ac:dyDescent="0.45">
      <c r="A19">
        <v>2.1</v>
      </c>
      <c r="B19" t="s">
        <v>1</v>
      </c>
      <c r="C19">
        <v>201</v>
      </c>
      <c r="D19">
        <v>6</v>
      </c>
      <c r="E19" t="s">
        <v>5</v>
      </c>
      <c r="F19" t="s">
        <v>13</v>
      </c>
      <c r="H19">
        <v>1</v>
      </c>
    </row>
    <row r="20" spans="1:8" x14ac:dyDescent="0.45">
      <c r="A20">
        <v>2.1</v>
      </c>
      <c r="B20" t="s">
        <v>1</v>
      </c>
      <c r="C20">
        <v>201</v>
      </c>
      <c r="D20">
        <v>7</v>
      </c>
      <c r="E20" t="s">
        <v>5</v>
      </c>
      <c r="F20" t="s">
        <v>13</v>
      </c>
      <c r="H20">
        <v>1</v>
      </c>
    </row>
    <row r="21" spans="1:8" x14ac:dyDescent="0.45">
      <c r="A21">
        <v>2.1</v>
      </c>
      <c r="B21" t="s">
        <v>1</v>
      </c>
      <c r="C21">
        <v>201</v>
      </c>
      <c r="D21">
        <v>8</v>
      </c>
      <c r="E21" t="s">
        <v>7</v>
      </c>
      <c r="F21" t="s">
        <v>10</v>
      </c>
      <c r="H21">
        <v>1</v>
      </c>
    </row>
    <row r="22" spans="1:8" x14ac:dyDescent="0.45">
      <c r="A22">
        <v>2.1</v>
      </c>
      <c r="B22" t="s">
        <v>1</v>
      </c>
      <c r="C22">
        <v>201</v>
      </c>
      <c r="D22">
        <v>9</v>
      </c>
      <c r="E22" t="s">
        <v>5</v>
      </c>
      <c r="F22" t="s">
        <v>14</v>
      </c>
      <c r="H22">
        <v>1</v>
      </c>
    </row>
    <row r="23" spans="1:8" x14ac:dyDescent="0.45">
      <c r="A23">
        <v>2.1</v>
      </c>
      <c r="B23" t="s">
        <v>1</v>
      </c>
      <c r="C23">
        <v>201</v>
      </c>
      <c r="D23">
        <v>10</v>
      </c>
      <c r="E23" t="s">
        <v>5</v>
      </c>
      <c r="F23" t="s">
        <v>20</v>
      </c>
      <c r="H23">
        <v>1</v>
      </c>
    </row>
    <row r="24" spans="1:8" x14ac:dyDescent="0.45">
      <c r="A24">
        <v>2.1</v>
      </c>
      <c r="B24" t="s">
        <v>1</v>
      </c>
      <c r="C24">
        <v>201</v>
      </c>
      <c r="D24">
        <v>11</v>
      </c>
      <c r="E24" t="s">
        <v>5</v>
      </c>
      <c r="F24" t="s">
        <v>21</v>
      </c>
      <c r="H24">
        <v>1</v>
      </c>
    </row>
    <row r="25" spans="1:8" x14ac:dyDescent="0.45">
      <c r="A25">
        <v>2.1</v>
      </c>
      <c r="B25" t="s">
        <v>1</v>
      </c>
      <c r="C25">
        <v>201</v>
      </c>
      <c r="D25">
        <v>12</v>
      </c>
      <c r="E25" t="s">
        <v>7</v>
      </c>
      <c r="F25" t="s">
        <v>10</v>
      </c>
      <c r="H25">
        <v>1</v>
      </c>
    </row>
    <row r="26" spans="1:8" x14ac:dyDescent="0.45">
      <c r="A26">
        <v>2.1</v>
      </c>
      <c r="B26" t="s">
        <v>1</v>
      </c>
      <c r="C26">
        <v>201</v>
      </c>
      <c r="D26">
        <v>13</v>
      </c>
      <c r="E26" t="s">
        <v>5</v>
      </c>
      <c r="F26" t="s">
        <v>22</v>
      </c>
      <c r="H26">
        <v>1</v>
      </c>
    </row>
    <row r="27" spans="1:8" x14ac:dyDescent="0.45">
      <c r="A27">
        <v>2.1</v>
      </c>
      <c r="B27" t="s">
        <v>1</v>
      </c>
      <c r="C27">
        <v>201</v>
      </c>
      <c r="D27">
        <v>14</v>
      </c>
      <c r="E27" t="s">
        <v>7</v>
      </c>
      <c r="F27" t="s">
        <v>10</v>
      </c>
      <c r="H27">
        <v>1</v>
      </c>
    </row>
    <row r="28" spans="1:8" x14ac:dyDescent="0.45">
      <c r="A28">
        <v>2.1</v>
      </c>
      <c r="B28" t="s">
        <v>1</v>
      </c>
      <c r="C28">
        <v>201</v>
      </c>
      <c r="D28">
        <v>15</v>
      </c>
      <c r="E28" t="s">
        <v>5</v>
      </c>
      <c r="F28" t="s">
        <v>23</v>
      </c>
      <c r="H28">
        <v>1</v>
      </c>
    </row>
    <row r="29" spans="1:8" x14ac:dyDescent="0.45">
      <c r="A29">
        <v>2.1</v>
      </c>
      <c r="B29" t="s">
        <v>1</v>
      </c>
      <c r="C29">
        <v>201</v>
      </c>
      <c r="D29">
        <v>16</v>
      </c>
      <c r="E29" t="s">
        <v>5</v>
      </c>
      <c r="F29" t="s">
        <v>24</v>
      </c>
      <c r="H29">
        <v>1</v>
      </c>
    </row>
    <row r="30" spans="1:8" x14ac:dyDescent="0.45">
      <c r="A30">
        <v>2.1</v>
      </c>
      <c r="B30" t="s">
        <v>1</v>
      </c>
      <c r="C30">
        <v>201</v>
      </c>
      <c r="D30">
        <v>17</v>
      </c>
      <c r="E30" t="s">
        <v>5</v>
      </c>
      <c r="F30" t="s">
        <v>25</v>
      </c>
      <c r="H30">
        <v>1</v>
      </c>
    </row>
    <row r="31" spans="1:8" x14ac:dyDescent="0.45">
      <c r="A31">
        <v>2.1</v>
      </c>
      <c r="B31" t="s">
        <v>1</v>
      </c>
      <c r="C31">
        <v>201</v>
      </c>
      <c r="D31">
        <v>18</v>
      </c>
      <c r="E31" t="s">
        <v>5</v>
      </c>
      <c r="F31" t="s">
        <v>26</v>
      </c>
      <c r="H31">
        <v>1</v>
      </c>
    </row>
    <row r="32" spans="1:8" x14ac:dyDescent="0.45">
      <c r="A32">
        <v>2.1</v>
      </c>
      <c r="B32" t="s">
        <v>1</v>
      </c>
      <c r="C32">
        <v>401</v>
      </c>
      <c r="D32">
        <v>1</v>
      </c>
      <c r="E32" t="s">
        <v>5</v>
      </c>
      <c r="F32" t="s">
        <v>27</v>
      </c>
      <c r="H32">
        <v>1</v>
      </c>
    </row>
    <row r="33" spans="1:8" x14ac:dyDescent="0.45">
      <c r="A33">
        <v>2.1</v>
      </c>
      <c r="B33" t="s">
        <v>1</v>
      </c>
      <c r="C33">
        <v>401</v>
      </c>
      <c r="D33">
        <v>2</v>
      </c>
      <c r="E33" t="s">
        <v>7</v>
      </c>
      <c r="F33" t="s">
        <v>10</v>
      </c>
      <c r="H33">
        <v>1</v>
      </c>
    </row>
    <row r="34" spans="1:8" x14ac:dyDescent="0.45">
      <c r="A34">
        <v>2.1</v>
      </c>
      <c r="B34" t="s">
        <v>1</v>
      </c>
      <c r="C34">
        <v>401</v>
      </c>
      <c r="D34">
        <v>3</v>
      </c>
      <c r="E34" t="s">
        <v>5</v>
      </c>
      <c r="F34" t="s">
        <v>21</v>
      </c>
      <c r="H34">
        <v>1</v>
      </c>
    </row>
    <row r="35" spans="1:8" x14ac:dyDescent="0.45">
      <c r="A35">
        <v>2.1</v>
      </c>
      <c r="B35" t="s">
        <v>1</v>
      </c>
      <c r="C35">
        <v>401</v>
      </c>
      <c r="D35">
        <v>4</v>
      </c>
      <c r="E35" t="s">
        <v>5</v>
      </c>
      <c r="F35" t="s">
        <v>29</v>
      </c>
      <c r="H35">
        <v>1</v>
      </c>
    </row>
    <row r="36" spans="1:8" x14ac:dyDescent="0.45">
      <c r="A36">
        <v>2.1</v>
      </c>
      <c r="B36" t="s">
        <v>1</v>
      </c>
      <c r="C36">
        <v>401</v>
      </c>
      <c r="D36">
        <v>5</v>
      </c>
      <c r="E36" t="s">
        <v>5</v>
      </c>
      <c r="F36" t="s">
        <v>31</v>
      </c>
      <c r="H36">
        <v>1</v>
      </c>
    </row>
    <row r="37" spans="1:8" x14ac:dyDescent="0.45">
      <c r="A37">
        <v>2.1</v>
      </c>
      <c r="B37" t="s">
        <v>1</v>
      </c>
      <c r="C37">
        <v>401</v>
      </c>
      <c r="D37">
        <v>6</v>
      </c>
      <c r="E37" t="s">
        <v>5</v>
      </c>
      <c r="F37" t="s">
        <v>33</v>
      </c>
      <c r="H37">
        <v>1</v>
      </c>
    </row>
    <row r="38" spans="1:8" x14ac:dyDescent="0.45">
      <c r="A38">
        <v>2.1</v>
      </c>
      <c r="B38" t="s">
        <v>1</v>
      </c>
      <c r="C38">
        <v>401</v>
      </c>
      <c r="D38">
        <v>7</v>
      </c>
      <c r="E38" t="s">
        <v>5</v>
      </c>
      <c r="F38" t="s">
        <v>34</v>
      </c>
      <c r="H38">
        <v>1</v>
      </c>
    </row>
    <row r="39" spans="1:8" x14ac:dyDescent="0.45">
      <c r="A39">
        <v>2.1</v>
      </c>
      <c r="B39" t="s">
        <v>1</v>
      </c>
      <c r="C39">
        <v>401</v>
      </c>
      <c r="D39">
        <v>8</v>
      </c>
      <c r="E39" t="s">
        <v>5</v>
      </c>
      <c r="F39" t="s">
        <v>34</v>
      </c>
      <c r="H39">
        <v>1</v>
      </c>
    </row>
    <row r="40" spans="1:8" x14ac:dyDescent="0.45">
      <c r="A40">
        <v>2.1</v>
      </c>
      <c r="B40" t="s">
        <v>1</v>
      </c>
      <c r="C40">
        <v>401</v>
      </c>
      <c r="D40">
        <v>9</v>
      </c>
      <c r="E40" t="s">
        <v>5</v>
      </c>
      <c r="F40" t="s">
        <v>35</v>
      </c>
      <c r="H40">
        <v>1</v>
      </c>
    </row>
    <row r="41" spans="1:8" x14ac:dyDescent="0.45">
      <c r="A41">
        <v>2.1</v>
      </c>
      <c r="B41" t="s">
        <v>1</v>
      </c>
      <c r="C41">
        <v>401</v>
      </c>
      <c r="D41">
        <v>10</v>
      </c>
      <c r="E41" t="s">
        <v>5</v>
      </c>
      <c r="F41" t="s">
        <v>36</v>
      </c>
      <c r="H41">
        <v>1</v>
      </c>
    </row>
    <row r="42" spans="1:8" x14ac:dyDescent="0.45">
      <c r="A42">
        <v>2.1</v>
      </c>
      <c r="B42" t="s">
        <v>1</v>
      </c>
      <c r="C42">
        <v>401</v>
      </c>
      <c r="D42">
        <v>11</v>
      </c>
      <c r="E42" t="s">
        <v>5</v>
      </c>
      <c r="F42" t="s">
        <v>37</v>
      </c>
      <c r="H42">
        <v>1</v>
      </c>
    </row>
    <row r="43" spans="1:8" x14ac:dyDescent="0.45">
      <c r="A43">
        <v>2.1</v>
      </c>
      <c r="B43" t="s">
        <v>1</v>
      </c>
      <c r="C43">
        <v>401</v>
      </c>
      <c r="D43">
        <v>12</v>
      </c>
      <c r="E43" t="s">
        <v>7</v>
      </c>
      <c r="F43" t="s">
        <v>10</v>
      </c>
      <c r="H43">
        <v>1</v>
      </c>
    </row>
    <row r="44" spans="1:8" x14ac:dyDescent="0.45">
      <c r="A44">
        <v>2.1</v>
      </c>
      <c r="B44" t="s">
        <v>1</v>
      </c>
      <c r="C44">
        <v>401</v>
      </c>
      <c r="D44">
        <v>13</v>
      </c>
      <c r="E44" t="s">
        <v>7</v>
      </c>
      <c r="F44" t="s">
        <v>10</v>
      </c>
      <c r="H44">
        <v>1</v>
      </c>
    </row>
    <row r="45" spans="1:8" x14ac:dyDescent="0.45">
      <c r="A45">
        <v>2.1</v>
      </c>
      <c r="B45" t="s">
        <v>1</v>
      </c>
      <c r="C45">
        <v>401</v>
      </c>
      <c r="D45">
        <v>14</v>
      </c>
      <c r="E45" t="s">
        <v>5</v>
      </c>
      <c r="F45" t="s">
        <v>38</v>
      </c>
      <c r="H45">
        <v>1</v>
      </c>
    </row>
    <row r="46" spans="1:8" x14ac:dyDescent="0.45">
      <c r="A46">
        <v>2.1</v>
      </c>
      <c r="B46" t="s">
        <v>1</v>
      </c>
      <c r="C46">
        <v>801</v>
      </c>
      <c r="D46">
        <v>1</v>
      </c>
      <c r="E46" t="s">
        <v>5</v>
      </c>
      <c r="F46" t="s">
        <v>39</v>
      </c>
      <c r="H46">
        <v>1</v>
      </c>
    </row>
    <row r="47" spans="1:8" x14ac:dyDescent="0.45">
      <c r="A47">
        <v>2.1</v>
      </c>
      <c r="B47" t="s">
        <v>1</v>
      </c>
      <c r="C47">
        <v>801</v>
      </c>
      <c r="D47">
        <v>2</v>
      </c>
      <c r="E47" t="s">
        <v>5</v>
      </c>
      <c r="F47" t="s">
        <v>40</v>
      </c>
      <c r="H47">
        <v>1</v>
      </c>
    </row>
    <row r="48" spans="1:8" x14ac:dyDescent="0.45">
      <c r="A48">
        <v>2.1</v>
      </c>
      <c r="B48" t="s">
        <v>1</v>
      </c>
      <c r="C48">
        <v>801</v>
      </c>
      <c r="D48">
        <v>3</v>
      </c>
      <c r="E48" t="s">
        <v>5</v>
      </c>
      <c r="F48" t="s">
        <v>41</v>
      </c>
      <c r="H48">
        <v>1</v>
      </c>
    </row>
    <row r="49" spans="1:8" x14ac:dyDescent="0.45">
      <c r="A49">
        <v>2.1</v>
      </c>
      <c r="B49" t="s">
        <v>1</v>
      </c>
      <c r="C49">
        <v>801</v>
      </c>
      <c r="D49">
        <v>4</v>
      </c>
      <c r="E49" t="s">
        <v>5</v>
      </c>
      <c r="F49" t="s">
        <v>42</v>
      </c>
      <c r="H49">
        <v>1</v>
      </c>
    </row>
    <row r="50" spans="1:8" x14ac:dyDescent="0.45">
      <c r="A50">
        <v>2.1</v>
      </c>
      <c r="B50" t="s">
        <v>1</v>
      </c>
      <c r="C50">
        <v>801</v>
      </c>
      <c r="D50">
        <v>5</v>
      </c>
      <c r="E50" t="s">
        <v>7</v>
      </c>
      <c r="F50" t="s">
        <v>9</v>
      </c>
      <c r="H50">
        <v>1</v>
      </c>
    </row>
    <row r="51" spans="1:8" x14ac:dyDescent="0.45">
      <c r="A51">
        <v>2.1</v>
      </c>
      <c r="B51" t="s">
        <v>1</v>
      </c>
      <c r="C51">
        <v>801</v>
      </c>
      <c r="D51">
        <v>6</v>
      </c>
      <c r="E51" t="s">
        <v>7</v>
      </c>
      <c r="F51" t="s">
        <v>10</v>
      </c>
      <c r="H51">
        <v>1</v>
      </c>
    </row>
    <row r="52" spans="1:8" x14ac:dyDescent="0.45">
      <c r="A52">
        <v>2.1</v>
      </c>
      <c r="B52" t="s">
        <v>1</v>
      </c>
      <c r="C52">
        <v>801</v>
      </c>
      <c r="D52">
        <v>7</v>
      </c>
      <c r="E52" t="s">
        <v>7</v>
      </c>
      <c r="F52" t="s">
        <v>10</v>
      </c>
      <c r="H52">
        <v>1</v>
      </c>
    </row>
    <row r="53" spans="1:8" x14ac:dyDescent="0.45">
      <c r="A53">
        <v>2.1</v>
      </c>
      <c r="B53" t="s">
        <v>1</v>
      </c>
      <c r="C53">
        <v>801</v>
      </c>
      <c r="D53">
        <v>8</v>
      </c>
      <c r="E53" t="s">
        <v>5</v>
      </c>
      <c r="F53" t="s">
        <v>43</v>
      </c>
      <c r="H53">
        <v>1</v>
      </c>
    </row>
    <row r="54" spans="1:8" x14ac:dyDescent="0.45">
      <c r="A54">
        <v>2.1</v>
      </c>
      <c r="B54" t="s">
        <v>1</v>
      </c>
      <c r="C54">
        <v>801</v>
      </c>
      <c r="D54">
        <v>9</v>
      </c>
      <c r="E54" t="s">
        <v>5</v>
      </c>
      <c r="F54" t="s">
        <v>44</v>
      </c>
      <c r="H54">
        <v>1</v>
      </c>
    </row>
    <row r="55" spans="1:8" x14ac:dyDescent="0.45">
      <c r="A55">
        <v>2.1</v>
      </c>
      <c r="B55" t="s">
        <v>1</v>
      </c>
      <c r="C55">
        <v>801</v>
      </c>
      <c r="D55">
        <v>10</v>
      </c>
      <c r="E55" t="s">
        <v>5</v>
      </c>
      <c r="F55" t="s">
        <v>45</v>
      </c>
      <c r="H55">
        <v>1</v>
      </c>
    </row>
    <row r="56" spans="1:8" x14ac:dyDescent="0.45">
      <c r="A56">
        <v>2.1</v>
      </c>
      <c r="B56" t="s">
        <v>1</v>
      </c>
      <c r="C56">
        <v>801</v>
      </c>
      <c r="D56">
        <v>11</v>
      </c>
      <c r="E56" t="s">
        <v>5</v>
      </c>
      <c r="F56" t="s">
        <v>46</v>
      </c>
      <c r="H56">
        <v>1</v>
      </c>
    </row>
    <row r="57" spans="1:8" x14ac:dyDescent="0.45">
      <c r="A57">
        <v>2.1</v>
      </c>
      <c r="B57" t="s">
        <v>1</v>
      </c>
      <c r="C57">
        <v>801</v>
      </c>
      <c r="D57">
        <v>12</v>
      </c>
      <c r="E57" t="s">
        <v>7</v>
      </c>
      <c r="F57" t="s">
        <v>10</v>
      </c>
      <c r="H57">
        <v>1</v>
      </c>
    </row>
    <row r="58" spans="1:8" x14ac:dyDescent="0.45">
      <c r="A58">
        <v>2.1</v>
      </c>
      <c r="B58" t="s">
        <v>1</v>
      </c>
      <c r="C58">
        <v>801</v>
      </c>
      <c r="D58">
        <v>13</v>
      </c>
      <c r="E58" t="s">
        <v>5</v>
      </c>
      <c r="F58" t="s">
        <v>47</v>
      </c>
      <c r="H58">
        <v>1</v>
      </c>
    </row>
    <row r="59" spans="1:8" x14ac:dyDescent="0.45">
      <c r="A59">
        <v>2.1</v>
      </c>
      <c r="B59" t="s">
        <v>1</v>
      </c>
      <c r="C59">
        <v>1201</v>
      </c>
      <c r="D59">
        <v>1</v>
      </c>
      <c r="E59" t="s">
        <v>5</v>
      </c>
      <c r="F59" t="s">
        <v>48</v>
      </c>
      <c r="H59">
        <v>1</v>
      </c>
    </row>
    <row r="60" spans="1:8" x14ac:dyDescent="0.45">
      <c r="A60">
        <v>2.1</v>
      </c>
      <c r="B60" t="s">
        <v>1</v>
      </c>
      <c r="C60">
        <v>1201</v>
      </c>
      <c r="D60">
        <v>2</v>
      </c>
      <c r="E60" t="s">
        <v>5</v>
      </c>
      <c r="F60" t="s">
        <v>49</v>
      </c>
      <c r="H60">
        <v>1</v>
      </c>
    </row>
    <row r="61" spans="1:8" x14ac:dyDescent="0.45">
      <c r="A61">
        <v>2.1</v>
      </c>
      <c r="B61" t="s">
        <v>1</v>
      </c>
      <c r="C61">
        <v>1201</v>
      </c>
      <c r="D61">
        <v>3</v>
      </c>
      <c r="E61" t="s">
        <v>5</v>
      </c>
      <c r="F61" t="s">
        <v>50</v>
      </c>
      <c r="H61">
        <v>1</v>
      </c>
    </row>
    <row r="62" spans="1:8" x14ac:dyDescent="0.45">
      <c r="A62">
        <v>2.1</v>
      </c>
      <c r="B62" t="s">
        <v>1</v>
      </c>
      <c r="C62">
        <v>1201</v>
      </c>
      <c r="D62">
        <v>4</v>
      </c>
      <c r="E62" t="s">
        <v>5</v>
      </c>
      <c r="F62" t="s">
        <v>51</v>
      </c>
      <c r="H62">
        <v>1</v>
      </c>
    </row>
    <row r="63" spans="1:8" x14ac:dyDescent="0.45">
      <c r="A63">
        <v>2.1</v>
      </c>
      <c r="B63" t="s">
        <v>1</v>
      </c>
      <c r="C63">
        <v>1201</v>
      </c>
      <c r="D63">
        <v>5</v>
      </c>
      <c r="E63" t="s">
        <v>7</v>
      </c>
      <c r="F63" t="s">
        <v>10</v>
      </c>
      <c r="H63">
        <v>1</v>
      </c>
    </row>
    <row r="64" spans="1:8" x14ac:dyDescent="0.45">
      <c r="A64">
        <v>2.1</v>
      </c>
      <c r="B64" t="s">
        <v>1</v>
      </c>
      <c r="C64">
        <v>1201</v>
      </c>
      <c r="D64">
        <v>6</v>
      </c>
      <c r="E64" t="s">
        <v>5</v>
      </c>
      <c r="F64" t="s">
        <v>52</v>
      </c>
      <c r="H64">
        <v>1</v>
      </c>
    </row>
    <row r="65" spans="1:8" x14ac:dyDescent="0.45">
      <c r="A65">
        <v>2.1</v>
      </c>
      <c r="B65" t="s">
        <v>1</v>
      </c>
      <c r="C65">
        <v>1201</v>
      </c>
      <c r="D65">
        <v>7</v>
      </c>
      <c r="E65" t="s">
        <v>5</v>
      </c>
      <c r="F65" t="s">
        <v>53</v>
      </c>
      <c r="H65">
        <v>1</v>
      </c>
    </row>
    <row r="66" spans="1:8" x14ac:dyDescent="0.45">
      <c r="A66">
        <v>2.1</v>
      </c>
      <c r="B66" t="s">
        <v>1</v>
      </c>
      <c r="C66">
        <v>1201</v>
      </c>
      <c r="D66">
        <v>8</v>
      </c>
      <c r="E66" t="s">
        <v>5</v>
      </c>
      <c r="F66" t="s">
        <v>54</v>
      </c>
      <c r="H66">
        <v>1</v>
      </c>
    </row>
    <row r="67" spans="1:8" x14ac:dyDescent="0.45">
      <c r="A67">
        <v>2.1</v>
      </c>
      <c r="B67" t="s">
        <v>1</v>
      </c>
      <c r="C67">
        <v>1201</v>
      </c>
      <c r="D67">
        <v>9</v>
      </c>
      <c r="E67" t="s">
        <v>5</v>
      </c>
      <c r="F67" t="s">
        <v>56</v>
      </c>
      <c r="H67">
        <v>1</v>
      </c>
    </row>
    <row r="68" spans="1:8" x14ac:dyDescent="0.45">
      <c r="A68">
        <v>2.1</v>
      </c>
      <c r="B68" t="s">
        <v>1</v>
      </c>
      <c r="C68">
        <v>1201</v>
      </c>
      <c r="D68">
        <v>10</v>
      </c>
      <c r="E68" t="s">
        <v>5</v>
      </c>
      <c r="F68" t="s">
        <v>58</v>
      </c>
      <c r="H68">
        <v>1</v>
      </c>
    </row>
    <row r="69" spans="1:8" x14ac:dyDescent="0.45">
      <c r="A69">
        <v>2.1</v>
      </c>
      <c r="B69" t="s">
        <v>1</v>
      </c>
      <c r="C69">
        <v>1201</v>
      </c>
      <c r="D69">
        <v>11</v>
      </c>
      <c r="E69" t="s">
        <v>5</v>
      </c>
      <c r="F69" t="s">
        <v>59</v>
      </c>
      <c r="H69">
        <v>1</v>
      </c>
    </row>
    <row r="70" spans="1:8" x14ac:dyDescent="0.45">
      <c r="A70">
        <v>2.1</v>
      </c>
      <c r="B70" t="s">
        <v>1</v>
      </c>
      <c r="C70">
        <v>1201</v>
      </c>
      <c r="D70">
        <v>12</v>
      </c>
      <c r="E70" t="s">
        <v>5</v>
      </c>
      <c r="F70" t="s">
        <v>60</v>
      </c>
      <c r="H70">
        <v>1</v>
      </c>
    </row>
    <row r="71" spans="1:8" x14ac:dyDescent="0.45">
      <c r="A71">
        <v>2.1</v>
      </c>
      <c r="B71" t="s">
        <v>1</v>
      </c>
      <c r="C71">
        <v>1601</v>
      </c>
      <c r="D71">
        <v>1</v>
      </c>
      <c r="E71" t="s">
        <v>5</v>
      </c>
      <c r="F71" t="s">
        <v>61</v>
      </c>
      <c r="H71">
        <v>1</v>
      </c>
    </row>
    <row r="72" spans="1:8" x14ac:dyDescent="0.45">
      <c r="A72">
        <v>2.1</v>
      </c>
      <c r="B72" t="s">
        <v>1</v>
      </c>
      <c r="C72">
        <v>1601</v>
      </c>
      <c r="D72">
        <v>2</v>
      </c>
      <c r="E72" t="s">
        <v>5</v>
      </c>
      <c r="F72" t="s">
        <v>62</v>
      </c>
      <c r="H72">
        <v>1</v>
      </c>
    </row>
    <row r="73" spans="1:8" x14ac:dyDescent="0.45">
      <c r="A73">
        <v>2.1</v>
      </c>
      <c r="B73" t="s">
        <v>1</v>
      </c>
      <c r="C73">
        <v>1601</v>
      </c>
      <c r="D73">
        <v>3</v>
      </c>
      <c r="E73" t="s">
        <v>5</v>
      </c>
      <c r="F73" t="s">
        <v>63</v>
      </c>
      <c r="H73">
        <v>1</v>
      </c>
    </row>
    <row r="74" spans="1:8" x14ac:dyDescent="0.45">
      <c r="A74">
        <v>2.1</v>
      </c>
      <c r="B74" t="s">
        <v>1</v>
      </c>
      <c r="C74">
        <v>1601</v>
      </c>
      <c r="D74">
        <v>4</v>
      </c>
      <c r="E74" t="s">
        <v>5</v>
      </c>
      <c r="F74" t="s">
        <v>64</v>
      </c>
      <c r="H74">
        <v>1</v>
      </c>
    </row>
    <row r="75" spans="1:8" x14ac:dyDescent="0.45">
      <c r="A75">
        <v>2.1</v>
      </c>
      <c r="B75" t="s">
        <v>1</v>
      </c>
      <c r="C75">
        <v>1601</v>
      </c>
      <c r="D75">
        <v>5</v>
      </c>
      <c r="E75" t="s">
        <v>5</v>
      </c>
      <c r="F75" t="s">
        <v>65</v>
      </c>
      <c r="H75">
        <v>1</v>
      </c>
    </row>
    <row r="76" spans="1:8" x14ac:dyDescent="0.45">
      <c r="A76">
        <v>2.1</v>
      </c>
      <c r="B76" t="s">
        <v>1</v>
      </c>
      <c r="C76">
        <v>1601</v>
      </c>
      <c r="D76">
        <v>6</v>
      </c>
      <c r="E76" t="s">
        <v>5</v>
      </c>
      <c r="F76" t="s">
        <v>66</v>
      </c>
      <c r="H76">
        <v>1</v>
      </c>
    </row>
    <row r="77" spans="1:8" x14ac:dyDescent="0.45">
      <c r="A77">
        <v>2.1</v>
      </c>
      <c r="B77" t="s">
        <v>67</v>
      </c>
      <c r="C77">
        <v>1601</v>
      </c>
      <c r="D77">
        <v>1</v>
      </c>
      <c r="E77" t="s">
        <v>5</v>
      </c>
      <c r="F77" t="s">
        <v>139</v>
      </c>
      <c r="H77">
        <v>1</v>
      </c>
    </row>
    <row r="78" spans="1:8" x14ac:dyDescent="0.45">
      <c r="A78">
        <v>2.1</v>
      </c>
      <c r="B78" t="s">
        <v>67</v>
      </c>
      <c r="C78">
        <v>1601</v>
      </c>
      <c r="D78">
        <v>2</v>
      </c>
      <c r="E78" t="s">
        <v>5</v>
      </c>
      <c r="F78" t="s">
        <v>792</v>
      </c>
      <c r="H78">
        <v>1</v>
      </c>
    </row>
    <row r="79" spans="1:8" x14ac:dyDescent="0.45">
      <c r="A79">
        <v>2.1</v>
      </c>
      <c r="B79" t="s">
        <v>67</v>
      </c>
      <c r="C79">
        <v>1601</v>
      </c>
      <c r="D79">
        <v>3</v>
      </c>
      <c r="E79" t="s">
        <v>7</v>
      </c>
      <c r="F79" t="s">
        <v>751</v>
      </c>
      <c r="H79">
        <v>1</v>
      </c>
    </row>
    <row r="80" spans="1:8" x14ac:dyDescent="0.45">
      <c r="A80">
        <v>2.1</v>
      </c>
      <c r="B80" t="s">
        <v>67</v>
      </c>
      <c r="C80">
        <v>1601</v>
      </c>
      <c r="D80">
        <v>4</v>
      </c>
      <c r="E80" t="s">
        <v>5</v>
      </c>
      <c r="F80" t="s">
        <v>340</v>
      </c>
      <c r="H80">
        <v>1</v>
      </c>
    </row>
    <row r="81" spans="1:8" x14ac:dyDescent="0.45">
      <c r="A81">
        <v>2.1</v>
      </c>
      <c r="B81" t="s">
        <v>67</v>
      </c>
      <c r="C81">
        <v>1601</v>
      </c>
      <c r="D81">
        <v>5</v>
      </c>
      <c r="E81" t="s">
        <v>5</v>
      </c>
      <c r="F81" t="s">
        <v>530</v>
      </c>
      <c r="H81">
        <v>1</v>
      </c>
    </row>
    <row r="82" spans="1:8" x14ac:dyDescent="0.45">
      <c r="A82">
        <v>2.1</v>
      </c>
      <c r="B82" t="s">
        <v>67</v>
      </c>
      <c r="C82">
        <v>1601</v>
      </c>
      <c r="D82">
        <v>6</v>
      </c>
      <c r="E82" t="s">
        <v>7</v>
      </c>
      <c r="F82" t="s">
        <v>751</v>
      </c>
      <c r="H82">
        <v>1</v>
      </c>
    </row>
    <row r="83" spans="1:8" x14ac:dyDescent="0.45">
      <c r="A83">
        <v>2.1</v>
      </c>
      <c r="B83" t="s">
        <v>67</v>
      </c>
      <c r="C83">
        <v>1601</v>
      </c>
      <c r="D83">
        <v>7</v>
      </c>
      <c r="E83" t="s">
        <v>5</v>
      </c>
      <c r="F83" t="s">
        <v>427</v>
      </c>
      <c r="H83">
        <v>1</v>
      </c>
    </row>
    <row r="84" spans="1:8" x14ac:dyDescent="0.45">
      <c r="A84">
        <v>2.1</v>
      </c>
      <c r="B84" t="s">
        <v>67</v>
      </c>
      <c r="C84">
        <v>1601</v>
      </c>
      <c r="D84">
        <v>8</v>
      </c>
      <c r="E84" t="s">
        <v>5</v>
      </c>
      <c r="F84" t="s">
        <v>795</v>
      </c>
      <c r="H84">
        <v>1</v>
      </c>
    </row>
    <row r="85" spans="1:8" x14ac:dyDescent="0.45">
      <c r="A85">
        <v>2.1</v>
      </c>
      <c r="B85" t="s">
        <v>67</v>
      </c>
      <c r="C85">
        <v>1601</v>
      </c>
      <c r="D85">
        <v>9</v>
      </c>
      <c r="E85" t="s">
        <v>5</v>
      </c>
      <c r="F85" t="s">
        <v>604</v>
      </c>
      <c r="H85">
        <v>1</v>
      </c>
    </row>
    <row r="86" spans="1:8" x14ac:dyDescent="0.45">
      <c r="A86">
        <v>2.1</v>
      </c>
      <c r="B86" t="s">
        <v>67</v>
      </c>
      <c r="C86">
        <v>1601</v>
      </c>
      <c r="D86">
        <v>10</v>
      </c>
      <c r="E86" t="s">
        <v>7</v>
      </c>
      <c r="F86" t="s">
        <v>794</v>
      </c>
      <c r="H86">
        <v>1</v>
      </c>
    </row>
    <row r="87" spans="1:8" x14ac:dyDescent="0.45">
      <c r="A87">
        <v>2.1</v>
      </c>
      <c r="B87" t="s">
        <v>67</v>
      </c>
      <c r="C87">
        <v>1601</v>
      </c>
      <c r="D87">
        <v>11</v>
      </c>
      <c r="E87" t="s">
        <v>5</v>
      </c>
      <c r="F87" t="s">
        <v>233</v>
      </c>
      <c r="H87">
        <v>1</v>
      </c>
    </row>
    <row r="88" spans="1:8" x14ac:dyDescent="0.45">
      <c r="A88">
        <v>2.1</v>
      </c>
      <c r="B88" t="s">
        <v>67</v>
      </c>
      <c r="C88">
        <v>1601</v>
      </c>
      <c r="D88">
        <v>12</v>
      </c>
      <c r="E88" t="s">
        <v>7</v>
      </c>
      <c r="F88" t="s">
        <v>794</v>
      </c>
      <c r="H88">
        <v>1</v>
      </c>
    </row>
    <row r="89" spans="1:8" x14ac:dyDescent="0.45">
      <c r="A89">
        <v>2.1</v>
      </c>
      <c r="B89" t="s">
        <v>67</v>
      </c>
      <c r="C89">
        <v>1601</v>
      </c>
      <c r="D89">
        <v>13</v>
      </c>
      <c r="E89" t="s">
        <v>5</v>
      </c>
      <c r="F89" t="s">
        <v>480</v>
      </c>
      <c r="G89" t="s">
        <v>171</v>
      </c>
      <c r="H89">
        <v>1</v>
      </c>
    </row>
    <row r="90" spans="1:8" x14ac:dyDescent="0.45">
      <c r="A90">
        <v>2.1</v>
      </c>
      <c r="B90" t="s">
        <v>67</v>
      </c>
      <c r="C90">
        <v>1601</v>
      </c>
      <c r="D90">
        <v>14</v>
      </c>
      <c r="E90" t="s">
        <v>5</v>
      </c>
      <c r="F90" t="s">
        <v>305</v>
      </c>
      <c r="H90">
        <v>1</v>
      </c>
    </row>
    <row r="91" spans="1:8" x14ac:dyDescent="0.45">
      <c r="A91">
        <v>2.1</v>
      </c>
      <c r="B91" t="s">
        <v>67</v>
      </c>
      <c r="C91">
        <v>1601</v>
      </c>
      <c r="D91">
        <v>15</v>
      </c>
      <c r="E91" t="s">
        <v>5</v>
      </c>
      <c r="F91" t="s">
        <v>307</v>
      </c>
      <c r="H91">
        <v>1</v>
      </c>
    </row>
    <row r="92" spans="1:8" x14ac:dyDescent="0.45">
      <c r="A92">
        <v>2.1</v>
      </c>
      <c r="B92" t="s">
        <v>67</v>
      </c>
      <c r="C92">
        <v>1601</v>
      </c>
      <c r="D92">
        <v>16</v>
      </c>
      <c r="E92" t="s">
        <v>7</v>
      </c>
      <c r="F92" t="s">
        <v>9</v>
      </c>
      <c r="H92">
        <v>1</v>
      </c>
    </row>
    <row r="93" spans="1:8" x14ac:dyDescent="0.45">
      <c r="A93">
        <v>2.1</v>
      </c>
      <c r="B93" t="s">
        <v>67</v>
      </c>
      <c r="C93">
        <v>1601</v>
      </c>
      <c r="D93">
        <v>17</v>
      </c>
      <c r="E93" t="s">
        <v>5</v>
      </c>
      <c r="F93" t="s">
        <v>793</v>
      </c>
      <c r="H93">
        <v>1</v>
      </c>
    </row>
    <row r="94" spans="1:8" x14ac:dyDescent="0.45">
      <c r="A94">
        <v>2.1</v>
      </c>
      <c r="B94" t="s">
        <v>67</v>
      </c>
      <c r="C94">
        <v>1601</v>
      </c>
      <c r="D94">
        <v>18</v>
      </c>
      <c r="E94" t="s">
        <v>7</v>
      </c>
      <c r="F94" t="s">
        <v>751</v>
      </c>
      <c r="H94">
        <v>1</v>
      </c>
    </row>
    <row r="95" spans="1:8" x14ac:dyDescent="0.45">
      <c r="A95">
        <v>2.1</v>
      </c>
      <c r="B95" t="s">
        <v>67</v>
      </c>
      <c r="C95">
        <v>1601</v>
      </c>
      <c r="D95">
        <v>19</v>
      </c>
      <c r="E95" t="s">
        <v>7</v>
      </c>
      <c r="F95" t="s">
        <v>751</v>
      </c>
      <c r="H95">
        <v>1</v>
      </c>
    </row>
    <row r="96" spans="1:8" x14ac:dyDescent="0.45">
      <c r="A96">
        <v>2.1</v>
      </c>
      <c r="B96" t="s">
        <v>67</v>
      </c>
      <c r="C96">
        <v>1601</v>
      </c>
      <c r="D96">
        <v>20</v>
      </c>
      <c r="E96" t="s">
        <v>5</v>
      </c>
      <c r="F96" t="s">
        <v>268</v>
      </c>
      <c r="H96">
        <v>1</v>
      </c>
    </row>
    <row r="97" spans="1:8" x14ac:dyDescent="0.45">
      <c r="A97">
        <v>2.1</v>
      </c>
      <c r="B97" t="s">
        <v>67</v>
      </c>
      <c r="C97">
        <v>1601</v>
      </c>
      <c r="D97">
        <v>21</v>
      </c>
      <c r="E97" t="s">
        <v>5</v>
      </c>
      <c r="F97" t="s">
        <v>61</v>
      </c>
      <c r="H97">
        <v>1</v>
      </c>
    </row>
    <row r="98" spans="1:8" x14ac:dyDescent="0.45">
      <c r="A98">
        <v>2.1</v>
      </c>
      <c r="B98" t="s">
        <v>67</v>
      </c>
      <c r="C98">
        <v>1201</v>
      </c>
      <c r="D98">
        <v>1</v>
      </c>
      <c r="E98" t="s">
        <v>5</v>
      </c>
      <c r="F98" t="s">
        <v>330</v>
      </c>
      <c r="H98">
        <v>1</v>
      </c>
    </row>
    <row r="99" spans="1:8" x14ac:dyDescent="0.45">
      <c r="A99">
        <v>2.1</v>
      </c>
      <c r="B99" t="s">
        <v>67</v>
      </c>
      <c r="C99">
        <v>1201</v>
      </c>
      <c r="D99">
        <v>2</v>
      </c>
      <c r="E99" t="s">
        <v>5</v>
      </c>
      <c r="F99" t="s">
        <v>226</v>
      </c>
      <c r="H99">
        <v>1</v>
      </c>
    </row>
    <row r="100" spans="1:8" x14ac:dyDescent="0.45">
      <c r="A100">
        <v>2.1</v>
      </c>
      <c r="B100" t="s">
        <v>67</v>
      </c>
      <c r="C100">
        <v>1201</v>
      </c>
      <c r="D100">
        <v>3</v>
      </c>
      <c r="E100" t="s">
        <v>7</v>
      </c>
      <c r="F100" t="s">
        <v>10</v>
      </c>
      <c r="H100">
        <v>1</v>
      </c>
    </row>
    <row r="101" spans="1:8" x14ac:dyDescent="0.45">
      <c r="A101">
        <v>2.1</v>
      </c>
      <c r="B101" t="s">
        <v>67</v>
      </c>
      <c r="C101">
        <v>1201</v>
      </c>
      <c r="D101">
        <v>4</v>
      </c>
      <c r="E101" t="s">
        <v>7</v>
      </c>
      <c r="F101" t="s">
        <v>794</v>
      </c>
      <c r="H101">
        <v>1</v>
      </c>
    </row>
    <row r="102" spans="1:8" x14ac:dyDescent="0.45">
      <c r="A102">
        <v>2.1</v>
      </c>
      <c r="B102" t="s">
        <v>67</v>
      </c>
      <c r="C102">
        <v>1201</v>
      </c>
      <c r="D102">
        <v>5</v>
      </c>
      <c r="E102" t="s">
        <v>5</v>
      </c>
      <c r="F102" t="s">
        <v>225</v>
      </c>
      <c r="H102">
        <v>1</v>
      </c>
    </row>
    <row r="103" spans="1:8" x14ac:dyDescent="0.45">
      <c r="A103">
        <v>2.1</v>
      </c>
      <c r="B103" t="s">
        <v>67</v>
      </c>
      <c r="C103">
        <v>1201</v>
      </c>
      <c r="D103">
        <v>6</v>
      </c>
      <c r="E103" t="s">
        <v>18</v>
      </c>
      <c r="F103" t="s">
        <v>52</v>
      </c>
      <c r="H103">
        <v>1</v>
      </c>
    </row>
    <row r="104" spans="1:8" x14ac:dyDescent="0.45">
      <c r="A104">
        <v>2.1</v>
      </c>
      <c r="B104" t="s">
        <v>67</v>
      </c>
      <c r="C104">
        <v>1201</v>
      </c>
      <c r="D104">
        <v>7</v>
      </c>
      <c r="E104" t="s">
        <v>5</v>
      </c>
      <c r="F104" t="s">
        <v>51</v>
      </c>
      <c r="H104">
        <v>1</v>
      </c>
    </row>
    <row r="105" spans="1:8" x14ac:dyDescent="0.45">
      <c r="A105">
        <v>2.1</v>
      </c>
      <c r="B105" t="s">
        <v>67</v>
      </c>
      <c r="C105">
        <v>1201</v>
      </c>
      <c r="D105">
        <v>8</v>
      </c>
      <c r="E105" t="s">
        <v>5</v>
      </c>
      <c r="F105" t="s">
        <v>298</v>
      </c>
      <c r="H105">
        <v>1</v>
      </c>
    </row>
    <row r="106" spans="1:8" x14ac:dyDescent="0.45">
      <c r="A106">
        <v>2.1</v>
      </c>
      <c r="B106" t="s">
        <v>67</v>
      </c>
      <c r="C106">
        <v>1201</v>
      </c>
      <c r="D106">
        <v>9</v>
      </c>
      <c r="E106" t="s">
        <v>7</v>
      </c>
      <c r="F106" t="s">
        <v>10</v>
      </c>
      <c r="H106">
        <v>1</v>
      </c>
    </row>
    <row r="107" spans="1:8" x14ac:dyDescent="0.45">
      <c r="A107">
        <v>2.1</v>
      </c>
      <c r="B107" t="s">
        <v>67</v>
      </c>
      <c r="C107">
        <v>1201</v>
      </c>
      <c r="D107">
        <v>10</v>
      </c>
      <c r="E107" t="s">
        <v>5</v>
      </c>
      <c r="F107" t="s">
        <v>412</v>
      </c>
      <c r="G107" t="s">
        <v>171</v>
      </c>
      <c r="H107">
        <v>1</v>
      </c>
    </row>
    <row r="108" spans="1:8" x14ac:dyDescent="0.45">
      <c r="A108">
        <v>2.1</v>
      </c>
      <c r="B108" t="s">
        <v>67</v>
      </c>
      <c r="C108">
        <v>1201</v>
      </c>
      <c r="D108">
        <v>11</v>
      </c>
      <c r="E108" t="s">
        <v>5</v>
      </c>
      <c r="F108" t="s">
        <v>796</v>
      </c>
      <c r="H108">
        <v>1</v>
      </c>
    </row>
    <row r="109" spans="1:8" x14ac:dyDescent="0.45">
      <c r="A109">
        <v>2.1</v>
      </c>
      <c r="B109" t="s">
        <v>67</v>
      </c>
      <c r="C109">
        <v>1201</v>
      </c>
      <c r="D109">
        <v>12</v>
      </c>
      <c r="E109" t="s">
        <v>5</v>
      </c>
      <c r="F109" t="s">
        <v>225</v>
      </c>
      <c r="H109">
        <v>1</v>
      </c>
    </row>
    <row r="110" spans="1:8" x14ac:dyDescent="0.45">
      <c r="A110">
        <v>2.1</v>
      </c>
      <c r="B110" t="s">
        <v>67</v>
      </c>
      <c r="C110">
        <v>1201</v>
      </c>
      <c r="D110">
        <v>13</v>
      </c>
      <c r="E110" t="s">
        <v>5</v>
      </c>
      <c r="F110" t="s">
        <v>178</v>
      </c>
      <c r="H110">
        <v>1</v>
      </c>
    </row>
    <row r="111" spans="1:8" x14ac:dyDescent="0.45">
      <c r="A111">
        <v>2.1</v>
      </c>
      <c r="B111" t="s">
        <v>67</v>
      </c>
      <c r="C111">
        <v>1201</v>
      </c>
      <c r="D111">
        <v>14</v>
      </c>
      <c r="E111" t="s">
        <v>7</v>
      </c>
      <c r="F111" t="s">
        <v>794</v>
      </c>
      <c r="H111">
        <v>1</v>
      </c>
    </row>
    <row r="112" spans="1:8" x14ac:dyDescent="0.45">
      <c r="A112">
        <v>2.1</v>
      </c>
      <c r="B112" t="s">
        <v>67</v>
      </c>
      <c r="C112">
        <v>1201</v>
      </c>
      <c r="D112">
        <v>15</v>
      </c>
      <c r="E112" t="s">
        <v>5</v>
      </c>
      <c r="F112" t="s">
        <v>330</v>
      </c>
      <c r="H112">
        <v>1</v>
      </c>
    </row>
    <row r="113" spans="1:8" x14ac:dyDescent="0.45">
      <c r="A113">
        <v>2.1</v>
      </c>
      <c r="B113" t="s">
        <v>67</v>
      </c>
      <c r="C113">
        <v>1201</v>
      </c>
      <c r="D113">
        <v>16</v>
      </c>
      <c r="E113" t="s">
        <v>7</v>
      </c>
      <c r="F113" t="s">
        <v>9</v>
      </c>
      <c r="H113">
        <v>1</v>
      </c>
    </row>
    <row r="114" spans="1:8" x14ac:dyDescent="0.45">
      <c r="A114">
        <v>2.1</v>
      </c>
      <c r="B114" t="s">
        <v>67</v>
      </c>
      <c r="C114">
        <v>801</v>
      </c>
      <c r="D114">
        <v>1</v>
      </c>
      <c r="E114" t="s">
        <v>5</v>
      </c>
      <c r="F114" t="s">
        <v>797</v>
      </c>
      <c r="G114" t="s">
        <v>171</v>
      </c>
      <c r="H114">
        <v>1</v>
      </c>
    </row>
    <row r="115" spans="1:8" x14ac:dyDescent="0.45">
      <c r="A115">
        <v>2.1</v>
      </c>
      <c r="B115" t="s">
        <v>67</v>
      </c>
      <c r="C115">
        <v>801</v>
      </c>
      <c r="D115">
        <v>2</v>
      </c>
      <c r="E115" t="s">
        <v>5</v>
      </c>
      <c r="F115" t="s">
        <v>219</v>
      </c>
      <c r="H115">
        <v>1</v>
      </c>
    </row>
    <row r="116" spans="1:8" x14ac:dyDescent="0.45">
      <c r="A116">
        <v>2.1</v>
      </c>
      <c r="B116" t="s">
        <v>67</v>
      </c>
      <c r="C116">
        <v>801</v>
      </c>
      <c r="D116">
        <v>3</v>
      </c>
      <c r="E116" t="s">
        <v>5</v>
      </c>
      <c r="F116" t="s">
        <v>88</v>
      </c>
      <c r="H116">
        <v>1</v>
      </c>
    </row>
    <row r="117" spans="1:8" x14ac:dyDescent="0.45">
      <c r="A117">
        <v>2.1</v>
      </c>
      <c r="B117" t="s">
        <v>67</v>
      </c>
      <c r="C117">
        <v>801</v>
      </c>
      <c r="D117">
        <v>4</v>
      </c>
      <c r="E117" t="s">
        <v>7</v>
      </c>
      <c r="F117" t="s">
        <v>794</v>
      </c>
      <c r="H117">
        <v>1</v>
      </c>
    </row>
    <row r="118" spans="1:8" x14ac:dyDescent="0.45">
      <c r="A118">
        <v>2.1</v>
      </c>
      <c r="B118" t="s">
        <v>67</v>
      </c>
      <c r="C118">
        <v>801</v>
      </c>
      <c r="D118">
        <v>5</v>
      </c>
      <c r="E118" t="s">
        <v>7</v>
      </c>
      <c r="F118" t="s">
        <v>10</v>
      </c>
      <c r="H118">
        <v>1</v>
      </c>
    </row>
    <row r="119" spans="1:8" x14ac:dyDescent="0.45">
      <c r="A119">
        <v>2.1</v>
      </c>
      <c r="B119" t="s">
        <v>67</v>
      </c>
      <c r="C119">
        <v>801</v>
      </c>
      <c r="D119">
        <v>6</v>
      </c>
      <c r="E119" t="s">
        <v>5</v>
      </c>
      <c r="F119" t="s">
        <v>44</v>
      </c>
      <c r="H119">
        <v>1</v>
      </c>
    </row>
    <row r="120" spans="1:8" x14ac:dyDescent="0.45">
      <c r="A120">
        <v>2.1</v>
      </c>
      <c r="B120" t="s">
        <v>67</v>
      </c>
      <c r="C120">
        <v>801</v>
      </c>
      <c r="D120">
        <v>7</v>
      </c>
      <c r="E120" t="s">
        <v>5</v>
      </c>
      <c r="F120" t="s">
        <v>220</v>
      </c>
      <c r="H120">
        <v>1</v>
      </c>
    </row>
    <row r="121" spans="1:8" x14ac:dyDescent="0.45">
      <c r="A121">
        <v>2.1</v>
      </c>
      <c r="B121" t="s">
        <v>67</v>
      </c>
      <c r="C121">
        <v>801</v>
      </c>
      <c r="D121">
        <v>8</v>
      </c>
      <c r="E121" t="s">
        <v>5</v>
      </c>
      <c r="F121" t="s">
        <v>799</v>
      </c>
      <c r="H121">
        <v>1</v>
      </c>
    </row>
    <row r="122" spans="1:8" x14ac:dyDescent="0.45">
      <c r="A122">
        <v>2.1</v>
      </c>
      <c r="B122" t="s">
        <v>67</v>
      </c>
      <c r="C122">
        <v>801</v>
      </c>
      <c r="D122">
        <v>9</v>
      </c>
      <c r="E122" t="s">
        <v>7</v>
      </c>
      <c r="F122" t="s">
        <v>9</v>
      </c>
      <c r="H122">
        <v>1</v>
      </c>
    </row>
    <row r="123" spans="1:8" x14ac:dyDescent="0.45">
      <c r="A123">
        <v>2.1</v>
      </c>
      <c r="B123" t="s">
        <v>67</v>
      </c>
      <c r="C123">
        <v>801</v>
      </c>
      <c r="D123">
        <v>10</v>
      </c>
      <c r="E123" t="s">
        <v>5</v>
      </c>
      <c r="F123" t="s">
        <v>557</v>
      </c>
      <c r="H123">
        <v>1</v>
      </c>
    </row>
    <row r="124" spans="1:8" x14ac:dyDescent="0.45">
      <c r="A124">
        <v>2.1</v>
      </c>
      <c r="B124" t="s">
        <v>67</v>
      </c>
      <c r="C124">
        <v>801</v>
      </c>
      <c r="D124">
        <v>11</v>
      </c>
      <c r="E124" t="s">
        <v>5</v>
      </c>
      <c r="F124" t="s">
        <v>801</v>
      </c>
      <c r="H124">
        <v>1</v>
      </c>
    </row>
    <row r="125" spans="1:8" x14ac:dyDescent="0.45">
      <c r="A125">
        <v>2.1</v>
      </c>
      <c r="B125" t="s">
        <v>67</v>
      </c>
      <c r="C125">
        <v>801</v>
      </c>
      <c r="D125">
        <v>12</v>
      </c>
      <c r="E125" t="s">
        <v>5</v>
      </c>
      <c r="F125" t="s">
        <v>800</v>
      </c>
      <c r="H125">
        <v>1</v>
      </c>
    </row>
    <row r="126" spans="1:8" x14ac:dyDescent="0.45">
      <c r="A126">
        <v>2.1</v>
      </c>
      <c r="B126" t="s">
        <v>67</v>
      </c>
      <c r="C126">
        <v>801</v>
      </c>
      <c r="D126">
        <v>13</v>
      </c>
      <c r="E126" t="s">
        <v>5</v>
      </c>
      <c r="F126" t="s">
        <v>798</v>
      </c>
      <c r="H126">
        <v>1</v>
      </c>
    </row>
    <row r="127" spans="1:8" x14ac:dyDescent="0.45">
      <c r="A127">
        <v>2.1</v>
      </c>
      <c r="B127" t="s">
        <v>67</v>
      </c>
      <c r="C127">
        <v>801</v>
      </c>
      <c r="D127">
        <v>14</v>
      </c>
      <c r="E127" t="s">
        <v>7</v>
      </c>
      <c r="F127" t="s">
        <v>9</v>
      </c>
      <c r="H127">
        <v>1</v>
      </c>
    </row>
    <row r="128" spans="1:8" x14ac:dyDescent="0.45">
      <c r="A128">
        <v>2.1</v>
      </c>
      <c r="B128" t="s">
        <v>67</v>
      </c>
      <c r="C128">
        <v>801</v>
      </c>
      <c r="D128">
        <v>15</v>
      </c>
      <c r="E128" t="s">
        <v>5</v>
      </c>
      <c r="F128" t="s">
        <v>164</v>
      </c>
      <c r="H128">
        <v>1</v>
      </c>
    </row>
    <row r="129" spans="1:8" x14ac:dyDescent="0.45">
      <c r="A129">
        <v>2.1</v>
      </c>
      <c r="B129" t="s">
        <v>67</v>
      </c>
      <c r="C129">
        <v>401</v>
      </c>
      <c r="D129">
        <v>1</v>
      </c>
      <c r="E129" t="s">
        <v>5</v>
      </c>
      <c r="F129" t="s">
        <v>277</v>
      </c>
      <c r="H129">
        <v>1</v>
      </c>
    </row>
    <row r="130" spans="1:8" x14ac:dyDescent="0.45">
      <c r="A130">
        <v>2.1</v>
      </c>
      <c r="B130" t="s">
        <v>67</v>
      </c>
      <c r="C130">
        <v>401</v>
      </c>
      <c r="D130">
        <v>2</v>
      </c>
      <c r="E130" t="s">
        <v>5</v>
      </c>
      <c r="F130" t="s">
        <v>802</v>
      </c>
      <c r="G130" t="s">
        <v>171</v>
      </c>
      <c r="H130">
        <v>1</v>
      </c>
    </row>
    <row r="131" spans="1:8" x14ac:dyDescent="0.45">
      <c r="A131">
        <v>2.1</v>
      </c>
      <c r="B131" t="s">
        <v>67</v>
      </c>
      <c r="C131">
        <v>401</v>
      </c>
      <c r="D131">
        <v>3</v>
      </c>
      <c r="E131" t="s">
        <v>5</v>
      </c>
      <c r="F131" t="s">
        <v>214</v>
      </c>
      <c r="H131">
        <v>1</v>
      </c>
    </row>
    <row r="132" spans="1:8" x14ac:dyDescent="0.45">
      <c r="A132">
        <v>2.1</v>
      </c>
      <c r="B132" t="s">
        <v>67</v>
      </c>
      <c r="C132">
        <v>401</v>
      </c>
      <c r="D132">
        <v>4</v>
      </c>
      <c r="E132" t="s">
        <v>5</v>
      </c>
      <c r="F132" t="s">
        <v>242</v>
      </c>
      <c r="H132">
        <v>1</v>
      </c>
    </row>
    <row r="133" spans="1:8" x14ac:dyDescent="0.45">
      <c r="A133">
        <v>2.1</v>
      </c>
      <c r="B133" t="s">
        <v>67</v>
      </c>
      <c r="C133">
        <v>401</v>
      </c>
      <c r="D133">
        <v>5</v>
      </c>
      <c r="E133" t="s">
        <v>5</v>
      </c>
      <c r="F133" t="s">
        <v>804</v>
      </c>
      <c r="H133">
        <v>1</v>
      </c>
    </row>
    <row r="134" spans="1:8" x14ac:dyDescent="0.45">
      <c r="A134">
        <v>2.1</v>
      </c>
      <c r="B134" t="s">
        <v>67</v>
      </c>
      <c r="C134">
        <v>401</v>
      </c>
      <c r="D134">
        <v>6</v>
      </c>
      <c r="E134" t="s">
        <v>7</v>
      </c>
      <c r="F134" t="s">
        <v>9</v>
      </c>
      <c r="H134">
        <v>1</v>
      </c>
    </row>
    <row r="135" spans="1:8" x14ac:dyDescent="0.45">
      <c r="A135">
        <v>2.1</v>
      </c>
      <c r="B135" t="s">
        <v>67</v>
      </c>
      <c r="C135">
        <v>401</v>
      </c>
      <c r="D135">
        <v>7</v>
      </c>
      <c r="E135" t="s">
        <v>5</v>
      </c>
      <c r="F135" t="s">
        <v>450</v>
      </c>
      <c r="H135">
        <v>1</v>
      </c>
    </row>
    <row r="136" spans="1:8" x14ac:dyDescent="0.45">
      <c r="A136">
        <v>2.1</v>
      </c>
      <c r="B136" t="s">
        <v>67</v>
      </c>
      <c r="C136">
        <v>401</v>
      </c>
      <c r="D136">
        <v>8</v>
      </c>
      <c r="E136" t="s">
        <v>5</v>
      </c>
      <c r="F136" t="s">
        <v>805</v>
      </c>
      <c r="H136">
        <v>1</v>
      </c>
    </row>
    <row r="137" spans="1:8" x14ac:dyDescent="0.45">
      <c r="A137">
        <v>2.1</v>
      </c>
      <c r="B137" t="s">
        <v>67</v>
      </c>
      <c r="C137">
        <v>401</v>
      </c>
      <c r="D137">
        <v>9</v>
      </c>
      <c r="E137" t="s">
        <v>7</v>
      </c>
      <c r="F137" t="s">
        <v>794</v>
      </c>
      <c r="H137">
        <v>1</v>
      </c>
    </row>
    <row r="138" spans="1:8" x14ac:dyDescent="0.45">
      <c r="A138">
        <v>2.1</v>
      </c>
      <c r="B138" t="s">
        <v>67</v>
      </c>
      <c r="C138">
        <v>401</v>
      </c>
      <c r="D138">
        <v>10</v>
      </c>
      <c r="E138" t="s">
        <v>7</v>
      </c>
      <c r="F138" t="s">
        <v>751</v>
      </c>
      <c r="H138">
        <v>1</v>
      </c>
    </row>
    <row r="139" spans="1:8" x14ac:dyDescent="0.45">
      <c r="A139">
        <v>2.1</v>
      </c>
      <c r="B139" t="s">
        <v>67</v>
      </c>
      <c r="C139">
        <v>401</v>
      </c>
      <c r="D139">
        <v>11</v>
      </c>
      <c r="E139" t="s">
        <v>5</v>
      </c>
      <c r="F139" t="s">
        <v>808</v>
      </c>
      <c r="H139">
        <v>1</v>
      </c>
    </row>
    <row r="140" spans="1:8" x14ac:dyDescent="0.45">
      <c r="A140">
        <v>2.1</v>
      </c>
      <c r="B140" t="s">
        <v>67</v>
      </c>
      <c r="C140">
        <v>401</v>
      </c>
      <c r="D140">
        <v>12</v>
      </c>
      <c r="E140" t="s">
        <v>7</v>
      </c>
      <c r="F140" t="s">
        <v>751</v>
      </c>
      <c r="H140">
        <v>1</v>
      </c>
    </row>
    <row r="141" spans="1:8" x14ac:dyDescent="0.45">
      <c r="A141">
        <v>2.1</v>
      </c>
      <c r="B141" t="s">
        <v>67</v>
      </c>
      <c r="C141">
        <v>401</v>
      </c>
      <c r="D141">
        <v>13</v>
      </c>
      <c r="E141" t="s">
        <v>5</v>
      </c>
      <c r="F141" t="s">
        <v>803</v>
      </c>
      <c r="H141">
        <v>1</v>
      </c>
    </row>
    <row r="142" spans="1:8" x14ac:dyDescent="0.45">
      <c r="A142">
        <v>2.1</v>
      </c>
      <c r="B142" t="s">
        <v>67</v>
      </c>
      <c r="C142">
        <v>401</v>
      </c>
      <c r="D142">
        <v>14</v>
      </c>
      <c r="E142" t="s">
        <v>5</v>
      </c>
      <c r="F142" t="s">
        <v>806</v>
      </c>
      <c r="H142">
        <v>1</v>
      </c>
    </row>
    <row r="143" spans="1:8" x14ac:dyDescent="0.45">
      <c r="A143">
        <v>2.1</v>
      </c>
      <c r="B143" t="s">
        <v>67</v>
      </c>
      <c r="C143">
        <v>401</v>
      </c>
      <c r="D143">
        <v>15</v>
      </c>
      <c r="E143" t="s">
        <v>5</v>
      </c>
      <c r="F143" t="s">
        <v>807</v>
      </c>
      <c r="H143">
        <v>1</v>
      </c>
    </row>
    <row r="144" spans="1:8" x14ac:dyDescent="0.45">
      <c r="A144">
        <v>2.1</v>
      </c>
      <c r="B144" t="s">
        <v>67</v>
      </c>
      <c r="C144">
        <v>401</v>
      </c>
      <c r="D144">
        <v>16</v>
      </c>
      <c r="E144" t="s">
        <v>7</v>
      </c>
      <c r="F144" t="s">
        <v>10</v>
      </c>
      <c r="H144">
        <v>1</v>
      </c>
    </row>
    <row r="145" spans="1:8" x14ac:dyDescent="0.45">
      <c r="A145">
        <v>2.1</v>
      </c>
      <c r="D145">
        <v>1</v>
      </c>
      <c r="H145">
        <v>1</v>
      </c>
    </row>
    <row r="146" spans="1:8" x14ac:dyDescent="0.45">
      <c r="A146">
        <v>2.1</v>
      </c>
      <c r="D146">
        <v>2</v>
      </c>
      <c r="H146">
        <v>1</v>
      </c>
    </row>
    <row r="147" spans="1:8" x14ac:dyDescent="0.45">
      <c r="A147">
        <v>2.1</v>
      </c>
      <c r="H147">
        <v>1</v>
      </c>
    </row>
    <row r="148" spans="1:8" x14ac:dyDescent="0.45">
      <c r="A148">
        <v>2.1</v>
      </c>
      <c r="H148">
        <v>1</v>
      </c>
    </row>
    <row r="149" spans="1:8" x14ac:dyDescent="0.45">
      <c r="A149">
        <v>2.1</v>
      </c>
      <c r="H149">
        <v>1</v>
      </c>
    </row>
    <row r="150" spans="1:8" x14ac:dyDescent="0.45">
      <c r="A150">
        <v>2.1</v>
      </c>
      <c r="H150">
        <v>1</v>
      </c>
    </row>
    <row r="151" spans="1:8" x14ac:dyDescent="0.45">
      <c r="A151">
        <v>2.1</v>
      </c>
      <c r="H151">
        <v>1</v>
      </c>
    </row>
    <row r="152" spans="1:8" x14ac:dyDescent="0.45">
      <c r="A152">
        <v>2.1</v>
      </c>
      <c r="H152">
        <v>1</v>
      </c>
    </row>
    <row r="153" spans="1:8" x14ac:dyDescent="0.45">
      <c r="A153">
        <v>2.1</v>
      </c>
      <c r="H153">
        <v>1</v>
      </c>
    </row>
    <row r="154" spans="1:8" x14ac:dyDescent="0.45">
      <c r="A154">
        <v>2.1</v>
      </c>
      <c r="H154">
        <v>1</v>
      </c>
    </row>
    <row r="155" spans="1:8" x14ac:dyDescent="0.45">
      <c r="A155">
        <v>2.1</v>
      </c>
      <c r="H155">
        <v>1</v>
      </c>
    </row>
    <row r="156" spans="1:8" x14ac:dyDescent="0.45">
      <c r="A156">
        <v>2.1</v>
      </c>
      <c r="H156">
        <v>1</v>
      </c>
    </row>
    <row r="157" spans="1:8" x14ac:dyDescent="0.45">
      <c r="A157">
        <v>2.1</v>
      </c>
      <c r="H157">
        <v>1</v>
      </c>
    </row>
    <row r="158" spans="1:8" x14ac:dyDescent="0.45">
      <c r="A158">
        <v>2.1</v>
      </c>
      <c r="H158">
        <v>1</v>
      </c>
    </row>
    <row r="159" spans="1:8" x14ac:dyDescent="0.45">
      <c r="A159">
        <v>2.1</v>
      </c>
      <c r="H159">
        <v>1</v>
      </c>
    </row>
    <row r="160" spans="1:8" x14ac:dyDescent="0.45">
      <c r="A160">
        <v>2.1</v>
      </c>
      <c r="H160">
        <v>1</v>
      </c>
    </row>
    <row r="161" spans="1:8" x14ac:dyDescent="0.45">
      <c r="A161">
        <v>2.1</v>
      </c>
      <c r="H161">
        <v>1</v>
      </c>
    </row>
    <row r="162" spans="1:8" x14ac:dyDescent="0.45">
      <c r="A162">
        <v>2.1</v>
      </c>
      <c r="H162">
        <v>1</v>
      </c>
    </row>
    <row r="163" spans="1:8" x14ac:dyDescent="0.45">
      <c r="A163">
        <v>2.1</v>
      </c>
      <c r="H163">
        <v>1</v>
      </c>
    </row>
    <row r="164" spans="1:8" x14ac:dyDescent="0.45">
      <c r="A164">
        <v>2.1</v>
      </c>
      <c r="H164">
        <v>1</v>
      </c>
    </row>
    <row r="165" spans="1:8" x14ac:dyDescent="0.45">
      <c r="A165">
        <v>2.1</v>
      </c>
      <c r="H165">
        <v>1</v>
      </c>
    </row>
    <row r="166" spans="1:8" x14ac:dyDescent="0.45">
      <c r="A166">
        <v>2.1</v>
      </c>
      <c r="H166">
        <v>1</v>
      </c>
    </row>
    <row r="167" spans="1:8" x14ac:dyDescent="0.45">
      <c r="A167">
        <v>2.1</v>
      </c>
      <c r="H167">
        <v>1</v>
      </c>
    </row>
    <row r="168" spans="1:8" x14ac:dyDescent="0.45">
      <c r="A168">
        <v>2.1</v>
      </c>
      <c r="H168">
        <v>1</v>
      </c>
    </row>
    <row r="169" spans="1:8" x14ac:dyDescent="0.45">
      <c r="A169">
        <v>2.1</v>
      </c>
      <c r="H169">
        <v>1</v>
      </c>
    </row>
    <row r="170" spans="1:8" x14ac:dyDescent="0.45">
      <c r="A170">
        <v>2.1</v>
      </c>
      <c r="H170">
        <v>1</v>
      </c>
    </row>
    <row r="171" spans="1:8" x14ac:dyDescent="0.45">
      <c r="A171">
        <v>2.1</v>
      </c>
      <c r="H171">
        <v>1</v>
      </c>
    </row>
    <row r="172" spans="1:8" x14ac:dyDescent="0.45">
      <c r="A172">
        <v>2.1</v>
      </c>
      <c r="H172">
        <v>1</v>
      </c>
    </row>
    <row r="173" spans="1:8" x14ac:dyDescent="0.45">
      <c r="A173">
        <v>2.1</v>
      </c>
      <c r="H173">
        <v>1</v>
      </c>
    </row>
    <row r="174" spans="1:8" x14ac:dyDescent="0.45">
      <c r="A174">
        <v>2.1</v>
      </c>
      <c r="H174">
        <v>1</v>
      </c>
    </row>
    <row r="175" spans="1:8" x14ac:dyDescent="0.45">
      <c r="A175">
        <v>2.1</v>
      </c>
      <c r="H175">
        <v>1</v>
      </c>
    </row>
    <row r="176" spans="1:8" x14ac:dyDescent="0.45">
      <c r="A176">
        <v>2.1</v>
      </c>
      <c r="H176">
        <v>1</v>
      </c>
    </row>
    <row r="177" spans="1:8" x14ac:dyDescent="0.45">
      <c r="A177">
        <v>2.1</v>
      </c>
      <c r="H177">
        <v>1</v>
      </c>
    </row>
    <row r="178" spans="1:8" x14ac:dyDescent="0.45">
      <c r="A178">
        <v>2.1</v>
      </c>
      <c r="H178">
        <v>1</v>
      </c>
    </row>
    <row r="179" spans="1:8" x14ac:dyDescent="0.45">
      <c r="A179">
        <v>2.1</v>
      </c>
      <c r="H179">
        <v>1</v>
      </c>
    </row>
    <row r="180" spans="1:8" x14ac:dyDescent="0.45">
      <c r="A180">
        <v>2.1</v>
      </c>
      <c r="H180">
        <v>1</v>
      </c>
    </row>
    <row r="181" spans="1:8" x14ac:dyDescent="0.45">
      <c r="A181">
        <v>2.1</v>
      </c>
      <c r="H181">
        <v>1</v>
      </c>
    </row>
    <row r="182" spans="1:8" x14ac:dyDescent="0.45">
      <c r="A182">
        <v>2.1</v>
      </c>
      <c r="H182">
        <v>1</v>
      </c>
    </row>
    <row r="183" spans="1:8" x14ac:dyDescent="0.45">
      <c r="A183">
        <v>2.1</v>
      </c>
      <c r="H183">
        <v>1</v>
      </c>
    </row>
    <row r="184" spans="1:8" x14ac:dyDescent="0.45">
      <c r="A184">
        <v>2.1</v>
      </c>
      <c r="H184">
        <v>1</v>
      </c>
    </row>
    <row r="185" spans="1:8" x14ac:dyDescent="0.45">
      <c r="A185">
        <v>2.1</v>
      </c>
      <c r="H185">
        <v>1</v>
      </c>
    </row>
    <row r="186" spans="1:8" x14ac:dyDescent="0.45">
      <c r="A186">
        <v>2.1</v>
      </c>
      <c r="H186">
        <v>1</v>
      </c>
    </row>
    <row r="187" spans="1:8" x14ac:dyDescent="0.45">
      <c r="A187">
        <v>2.1</v>
      </c>
      <c r="H187">
        <v>1</v>
      </c>
    </row>
    <row r="188" spans="1:8" x14ac:dyDescent="0.45">
      <c r="A188">
        <v>2.1</v>
      </c>
      <c r="H188">
        <v>1</v>
      </c>
    </row>
    <row r="189" spans="1:8" x14ac:dyDescent="0.45">
      <c r="A189">
        <v>2.1</v>
      </c>
      <c r="H189">
        <v>1</v>
      </c>
    </row>
    <row r="190" spans="1:8" x14ac:dyDescent="0.45">
      <c r="A190">
        <v>2.1</v>
      </c>
      <c r="H190">
        <v>1</v>
      </c>
    </row>
    <row r="191" spans="1:8" x14ac:dyDescent="0.45">
      <c r="A191">
        <v>2.1</v>
      </c>
      <c r="H191">
        <v>1</v>
      </c>
    </row>
    <row r="192" spans="1:8" x14ac:dyDescent="0.45">
      <c r="A192">
        <v>2.1</v>
      </c>
      <c r="H192">
        <v>1</v>
      </c>
    </row>
    <row r="193" spans="1:8" x14ac:dyDescent="0.45">
      <c r="A193">
        <v>2.1</v>
      </c>
      <c r="H193">
        <v>1</v>
      </c>
    </row>
    <row r="194" spans="1:8" x14ac:dyDescent="0.45">
      <c r="A194">
        <v>2.1</v>
      </c>
      <c r="H194">
        <v>1</v>
      </c>
    </row>
    <row r="195" spans="1:8" x14ac:dyDescent="0.45">
      <c r="A195">
        <v>2.1</v>
      </c>
      <c r="H195">
        <v>1</v>
      </c>
    </row>
    <row r="196" spans="1:8" x14ac:dyDescent="0.45">
      <c r="A196">
        <v>2.1</v>
      </c>
      <c r="H196">
        <v>1</v>
      </c>
    </row>
    <row r="197" spans="1:8" x14ac:dyDescent="0.45">
      <c r="A197">
        <v>2.1</v>
      </c>
      <c r="H197">
        <v>1</v>
      </c>
    </row>
    <row r="198" spans="1:8" x14ac:dyDescent="0.45">
      <c r="A198">
        <v>2.1</v>
      </c>
      <c r="H198">
        <v>1</v>
      </c>
    </row>
    <row r="199" spans="1:8" x14ac:dyDescent="0.45">
      <c r="A199">
        <v>2.1</v>
      </c>
      <c r="H199">
        <v>1</v>
      </c>
    </row>
    <row r="200" spans="1:8" x14ac:dyDescent="0.45">
      <c r="A200">
        <v>2.1</v>
      </c>
      <c r="H200">
        <v>1</v>
      </c>
    </row>
    <row r="201" spans="1:8" x14ac:dyDescent="0.45">
      <c r="A201">
        <v>2.1</v>
      </c>
      <c r="H201">
        <v>1</v>
      </c>
    </row>
    <row r="202" spans="1:8" x14ac:dyDescent="0.45">
      <c r="A202">
        <v>2.1</v>
      </c>
      <c r="H202">
        <v>1</v>
      </c>
    </row>
    <row r="203" spans="1:8" x14ac:dyDescent="0.45">
      <c r="A203">
        <v>2.1</v>
      </c>
      <c r="H20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E763-3B70-4DD7-BEE8-15FA0AF522C2}">
  <dimension ref="A1:M212"/>
  <sheetViews>
    <sheetView workbookViewId="0">
      <pane ySplit="3" topLeftCell="A61" activePane="bottomLeft" state="frozen"/>
      <selection pane="bottomLeft" activeCell="L68" sqref="L68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2</v>
      </c>
      <c r="B2" t="s">
        <v>68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102</v>
      </c>
      <c r="K2">
        <f>J2+J3</f>
        <v>103</v>
      </c>
      <c r="L2">
        <f>J2/K2</f>
        <v>0.99029126213592233</v>
      </c>
      <c r="M2">
        <f>SQRT(L2*L3/K2)</f>
        <v>9.6614931172165248E-3</v>
      </c>
    </row>
    <row r="3" spans="1:13" x14ac:dyDescent="0.45">
      <c r="A3">
        <v>2</v>
      </c>
      <c r="B3" t="s">
        <v>68</v>
      </c>
      <c r="C3">
        <v>1</v>
      </c>
      <c r="D3">
        <v>2</v>
      </c>
      <c r="E3" t="s">
        <v>5</v>
      </c>
      <c r="F3" t="s">
        <v>69</v>
      </c>
      <c r="H3">
        <v>1</v>
      </c>
      <c r="I3" t="s">
        <v>18</v>
      </c>
      <c r="J3">
        <f>COUNTIFS(E:E,"*B*",H:H,1)</f>
        <v>1</v>
      </c>
      <c r="L3">
        <f>J3/K2</f>
        <v>9.7087378640776691E-3</v>
      </c>
    </row>
    <row r="4" spans="1:13" x14ac:dyDescent="0.45">
      <c r="A4">
        <v>2</v>
      </c>
      <c r="B4" t="s">
        <v>68</v>
      </c>
      <c r="C4">
        <v>1</v>
      </c>
      <c r="D4">
        <v>3</v>
      </c>
      <c r="E4" t="s">
        <v>5</v>
      </c>
      <c r="F4" t="s">
        <v>70</v>
      </c>
      <c r="H4">
        <v>1</v>
      </c>
      <c r="I4" t="s">
        <v>7</v>
      </c>
      <c r="J4">
        <f>COUNTIFS(E:E,"*U*",H:H,1)</f>
        <v>38</v>
      </c>
    </row>
    <row r="5" spans="1:13" x14ac:dyDescent="0.45">
      <c r="A5">
        <v>2</v>
      </c>
      <c r="B5" t="s">
        <v>68</v>
      </c>
      <c r="C5">
        <v>1</v>
      </c>
      <c r="D5">
        <v>4</v>
      </c>
      <c r="E5" t="s">
        <v>5</v>
      </c>
      <c r="F5" t="s">
        <v>71</v>
      </c>
      <c r="H5">
        <v>1</v>
      </c>
    </row>
    <row r="6" spans="1:13" x14ac:dyDescent="0.45">
      <c r="A6">
        <v>2</v>
      </c>
      <c r="B6" t="s">
        <v>68</v>
      </c>
      <c r="C6">
        <v>1</v>
      </c>
      <c r="D6">
        <v>5</v>
      </c>
      <c r="E6" t="s">
        <v>5</v>
      </c>
      <c r="F6" t="s">
        <v>72</v>
      </c>
      <c r="H6">
        <v>1</v>
      </c>
    </row>
    <row r="7" spans="1:13" x14ac:dyDescent="0.45">
      <c r="A7">
        <v>2</v>
      </c>
      <c r="B7" t="s">
        <v>68</v>
      </c>
      <c r="C7">
        <v>1</v>
      </c>
      <c r="D7">
        <v>6</v>
      </c>
      <c r="E7" t="s">
        <v>7</v>
      </c>
      <c r="F7" t="s">
        <v>9</v>
      </c>
      <c r="H7">
        <v>1</v>
      </c>
    </row>
    <row r="8" spans="1:13" x14ac:dyDescent="0.45">
      <c r="A8">
        <v>2</v>
      </c>
      <c r="B8" t="s">
        <v>68</v>
      </c>
      <c r="C8">
        <v>1</v>
      </c>
      <c r="D8">
        <v>7</v>
      </c>
      <c r="E8" t="s">
        <v>5</v>
      </c>
      <c r="F8" t="s">
        <v>73</v>
      </c>
      <c r="H8">
        <v>1</v>
      </c>
    </row>
    <row r="9" spans="1:13" x14ac:dyDescent="0.45">
      <c r="A9">
        <v>2</v>
      </c>
      <c r="B9" t="s">
        <v>68</v>
      </c>
      <c r="C9">
        <v>1</v>
      </c>
      <c r="D9">
        <v>8</v>
      </c>
      <c r="E9" t="s">
        <v>5</v>
      </c>
      <c r="F9" t="s">
        <v>74</v>
      </c>
      <c r="H9">
        <v>1</v>
      </c>
    </row>
    <row r="10" spans="1:13" x14ac:dyDescent="0.45">
      <c r="A10">
        <v>2</v>
      </c>
      <c r="B10" t="s">
        <v>68</v>
      </c>
      <c r="C10">
        <v>1</v>
      </c>
      <c r="D10">
        <v>9</v>
      </c>
      <c r="E10" t="s">
        <v>5</v>
      </c>
      <c r="F10" t="s">
        <v>75</v>
      </c>
      <c r="H10">
        <v>1</v>
      </c>
    </row>
    <row r="11" spans="1:13" x14ac:dyDescent="0.45">
      <c r="A11">
        <v>2</v>
      </c>
      <c r="B11" t="s">
        <v>68</v>
      </c>
      <c r="C11">
        <v>1</v>
      </c>
      <c r="D11">
        <v>10</v>
      </c>
      <c r="E11" t="s">
        <v>7</v>
      </c>
      <c r="F11" t="s">
        <v>11</v>
      </c>
      <c r="H11">
        <v>1</v>
      </c>
    </row>
    <row r="12" spans="1:13" x14ac:dyDescent="0.45">
      <c r="A12">
        <v>2</v>
      </c>
      <c r="B12" t="s">
        <v>68</v>
      </c>
      <c r="C12">
        <v>401</v>
      </c>
      <c r="D12">
        <v>1</v>
      </c>
      <c r="E12" t="s">
        <v>5</v>
      </c>
      <c r="F12" t="s">
        <v>76</v>
      </c>
      <c r="H12">
        <v>1</v>
      </c>
    </row>
    <row r="13" spans="1:13" x14ac:dyDescent="0.45">
      <c r="A13">
        <v>2</v>
      </c>
      <c r="B13" t="s">
        <v>68</v>
      </c>
      <c r="C13">
        <v>401</v>
      </c>
      <c r="D13">
        <v>2</v>
      </c>
      <c r="E13" t="s">
        <v>5</v>
      </c>
      <c r="F13" t="s">
        <v>77</v>
      </c>
      <c r="H13">
        <v>1</v>
      </c>
    </row>
    <row r="14" spans="1:13" x14ac:dyDescent="0.45">
      <c r="A14">
        <v>2</v>
      </c>
      <c r="B14" t="s">
        <v>68</v>
      </c>
      <c r="C14">
        <v>401</v>
      </c>
      <c r="D14">
        <v>3</v>
      </c>
      <c r="E14" t="s">
        <v>5</v>
      </c>
      <c r="F14" t="s">
        <v>80</v>
      </c>
      <c r="H14">
        <v>1</v>
      </c>
    </row>
    <row r="15" spans="1:13" x14ac:dyDescent="0.45">
      <c r="A15">
        <v>2</v>
      </c>
      <c r="B15" t="s">
        <v>68</v>
      </c>
      <c r="C15">
        <v>401</v>
      </c>
      <c r="D15">
        <v>4</v>
      </c>
      <c r="E15" t="s">
        <v>5</v>
      </c>
      <c r="F15" t="s">
        <v>32</v>
      </c>
      <c r="H15">
        <v>1</v>
      </c>
    </row>
    <row r="16" spans="1:13" x14ac:dyDescent="0.45">
      <c r="A16">
        <v>2</v>
      </c>
      <c r="B16" t="s">
        <v>68</v>
      </c>
      <c r="C16">
        <v>401</v>
      </c>
      <c r="D16">
        <v>5</v>
      </c>
      <c r="E16" t="s">
        <v>5</v>
      </c>
      <c r="F16" t="s">
        <v>81</v>
      </c>
      <c r="H16">
        <v>1</v>
      </c>
    </row>
    <row r="17" spans="1:8" x14ac:dyDescent="0.45">
      <c r="A17">
        <v>2</v>
      </c>
      <c r="B17" t="s">
        <v>68</v>
      </c>
      <c r="C17">
        <v>401</v>
      </c>
      <c r="D17">
        <v>6</v>
      </c>
      <c r="E17" t="s">
        <v>7</v>
      </c>
      <c r="F17" t="s">
        <v>9</v>
      </c>
      <c r="H17">
        <v>1</v>
      </c>
    </row>
    <row r="18" spans="1:8" x14ac:dyDescent="0.45">
      <c r="A18">
        <v>2</v>
      </c>
      <c r="B18" t="s">
        <v>68</v>
      </c>
      <c r="C18">
        <v>401</v>
      </c>
      <c r="D18">
        <v>7</v>
      </c>
      <c r="E18" t="s">
        <v>5</v>
      </c>
      <c r="F18" t="s">
        <v>28</v>
      </c>
      <c r="H18">
        <v>1</v>
      </c>
    </row>
    <row r="19" spans="1:8" x14ac:dyDescent="0.45">
      <c r="A19">
        <v>2</v>
      </c>
      <c r="B19" t="s">
        <v>68</v>
      </c>
      <c r="C19">
        <v>401</v>
      </c>
      <c r="D19">
        <v>8</v>
      </c>
      <c r="E19" t="s">
        <v>5</v>
      </c>
      <c r="F19" t="s">
        <v>82</v>
      </c>
      <c r="H19">
        <v>1</v>
      </c>
    </row>
    <row r="20" spans="1:8" x14ac:dyDescent="0.45">
      <c r="A20">
        <v>2</v>
      </c>
      <c r="B20" t="s">
        <v>68</v>
      </c>
      <c r="C20">
        <v>401</v>
      </c>
      <c r="D20">
        <v>9</v>
      </c>
      <c r="E20" t="s">
        <v>5</v>
      </c>
      <c r="F20" t="s">
        <v>83</v>
      </c>
      <c r="H20">
        <v>1</v>
      </c>
    </row>
    <row r="21" spans="1:8" x14ac:dyDescent="0.45">
      <c r="A21">
        <v>2</v>
      </c>
      <c r="B21" t="s">
        <v>68</v>
      </c>
      <c r="C21">
        <v>801</v>
      </c>
      <c r="D21">
        <v>1</v>
      </c>
      <c r="E21" t="s">
        <v>5</v>
      </c>
      <c r="F21" t="s">
        <v>84</v>
      </c>
      <c r="H21">
        <v>1</v>
      </c>
    </row>
    <row r="22" spans="1:8" x14ac:dyDescent="0.45">
      <c r="A22">
        <v>2</v>
      </c>
      <c r="B22" t="s">
        <v>68</v>
      </c>
      <c r="C22">
        <v>801</v>
      </c>
      <c r="D22">
        <v>2</v>
      </c>
      <c r="E22" t="s">
        <v>5</v>
      </c>
      <c r="F22" t="s">
        <v>85</v>
      </c>
      <c r="H22">
        <v>1</v>
      </c>
    </row>
    <row r="23" spans="1:8" x14ac:dyDescent="0.45">
      <c r="A23">
        <v>2</v>
      </c>
      <c r="B23" t="s">
        <v>68</v>
      </c>
      <c r="C23">
        <v>801</v>
      </c>
      <c r="D23">
        <v>3</v>
      </c>
      <c r="E23" t="s">
        <v>5</v>
      </c>
      <c r="F23" t="s">
        <v>86</v>
      </c>
      <c r="H23">
        <v>1</v>
      </c>
    </row>
    <row r="24" spans="1:8" x14ac:dyDescent="0.45">
      <c r="A24">
        <v>2</v>
      </c>
      <c r="B24" t="s">
        <v>68</v>
      </c>
      <c r="C24">
        <v>801</v>
      </c>
      <c r="D24">
        <v>4</v>
      </c>
      <c r="E24" t="s">
        <v>5</v>
      </c>
      <c r="F24" t="s">
        <v>87</v>
      </c>
      <c r="H24">
        <v>1</v>
      </c>
    </row>
    <row r="25" spans="1:8" x14ac:dyDescent="0.45">
      <c r="A25">
        <v>2</v>
      </c>
      <c r="B25" t="s">
        <v>68</v>
      </c>
      <c r="C25">
        <v>801</v>
      </c>
      <c r="D25">
        <v>5</v>
      </c>
      <c r="E25" t="s">
        <v>7</v>
      </c>
      <c r="F25" t="s">
        <v>10</v>
      </c>
      <c r="H25">
        <v>1</v>
      </c>
    </row>
    <row r="26" spans="1:8" x14ac:dyDescent="0.45">
      <c r="A26">
        <v>2</v>
      </c>
      <c r="B26" t="s">
        <v>68</v>
      </c>
      <c r="C26">
        <v>801</v>
      </c>
      <c r="D26">
        <v>6</v>
      </c>
      <c r="E26" t="s">
        <v>7</v>
      </c>
      <c r="F26" t="s">
        <v>10</v>
      </c>
      <c r="H26">
        <v>1</v>
      </c>
    </row>
    <row r="27" spans="1:8" x14ac:dyDescent="0.45">
      <c r="A27">
        <v>2</v>
      </c>
      <c r="B27" t="s">
        <v>68</v>
      </c>
      <c r="C27">
        <v>801</v>
      </c>
      <c r="D27">
        <v>7</v>
      </c>
      <c r="E27" t="s">
        <v>5</v>
      </c>
      <c r="F27" t="s">
        <v>88</v>
      </c>
      <c r="H27">
        <v>1</v>
      </c>
    </row>
    <row r="28" spans="1:8" x14ac:dyDescent="0.45">
      <c r="A28">
        <v>2</v>
      </c>
      <c r="B28" t="s">
        <v>68</v>
      </c>
      <c r="C28">
        <v>801</v>
      </c>
      <c r="D28">
        <v>8</v>
      </c>
      <c r="E28" t="s">
        <v>5</v>
      </c>
      <c r="F28" t="s">
        <v>89</v>
      </c>
      <c r="H28">
        <v>1</v>
      </c>
    </row>
    <row r="29" spans="1:8" x14ac:dyDescent="0.45">
      <c r="A29">
        <v>2</v>
      </c>
      <c r="B29" t="s">
        <v>68</v>
      </c>
      <c r="C29">
        <v>801</v>
      </c>
      <c r="D29">
        <v>9</v>
      </c>
      <c r="E29" t="s">
        <v>5</v>
      </c>
      <c r="F29" t="s">
        <v>90</v>
      </c>
      <c r="H29">
        <v>1</v>
      </c>
    </row>
    <row r="30" spans="1:8" x14ac:dyDescent="0.45">
      <c r="A30">
        <v>2</v>
      </c>
      <c r="B30" t="s">
        <v>68</v>
      </c>
      <c r="C30">
        <v>801</v>
      </c>
      <c r="D30">
        <v>10</v>
      </c>
      <c r="E30" t="s">
        <v>5</v>
      </c>
      <c r="F30" t="s">
        <v>91</v>
      </c>
      <c r="H30">
        <v>1</v>
      </c>
    </row>
    <row r="31" spans="1:8" x14ac:dyDescent="0.45">
      <c r="A31">
        <v>2</v>
      </c>
      <c r="B31" t="s">
        <v>68</v>
      </c>
      <c r="C31">
        <v>801</v>
      </c>
      <c r="D31">
        <v>11</v>
      </c>
      <c r="E31" t="s">
        <v>7</v>
      </c>
      <c r="F31" t="s">
        <v>10</v>
      </c>
      <c r="H31">
        <v>1</v>
      </c>
    </row>
    <row r="32" spans="1:8" x14ac:dyDescent="0.45">
      <c r="A32">
        <v>2</v>
      </c>
      <c r="B32" t="s">
        <v>68</v>
      </c>
      <c r="C32">
        <v>1201</v>
      </c>
      <c r="D32">
        <v>1</v>
      </c>
      <c r="E32" t="s">
        <v>5</v>
      </c>
      <c r="F32" t="s">
        <v>92</v>
      </c>
      <c r="H32">
        <v>1</v>
      </c>
    </row>
    <row r="33" spans="1:8" x14ac:dyDescent="0.45">
      <c r="A33">
        <v>2</v>
      </c>
      <c r="B33" t="s">
        <v>68</v>
      </c>
      <c r="C33">
        <v>1201</v>
      </c>
      <c r="D33">
        <v>2</v>
      </c>
      <c r="E33" t="s">
        <v>5</v>
      </c>
      <c r="F33" t="s">
        <v>93</v>
      </c>
      <c r="H33">
        <v>1</v>
      </c>
    </row>
    <row r="34" spans="1:8" x14ac:dyDescent="0.45">
      <c r="A34">
        <v>2</v>
      </c>
      <c r="B34" t="s">
        <v>68</v>
      </c>
      <c r="C34">
        <v>1201</v>
      </c>
      <c r="D34">
        <v>3</v>
      </c>
      <c r="E34" t="s">
        <v>7</v>
      </c>
      <c r="F34" t="s">
        <v>10</v>
      </c>
      <c r="H34">
        <v>1</v>
      </c>
    </row>
    <row r="35" spans="1:8" x14ac:dyDescent="0.45">
      <c r="A35">
        <v>2</v>
      </c>
      <c r="B35" t="s">
        <v>68</v>
      </c>
      <c r="C35">
        <v>1201</v>
      </c>
      <c r="D35">
        <v>4</v>
      </c>
      <c r="E35" t="s">
        <v>5</v>
      </c>
      <c r="F35" t="s">
        <v>94</v>
      </c>
      <c r="H35">
        <v>1</v>
      </c>
    </row>
    <row r="36" spans="1:8" x14ac:dyDescent="0.45">
      <c r="A36">
        <v>2</v>
      </c>
      <c r="B36" t="s">
        <v>68</v>
      </c>
      <c r="C36">
        <v>1201</v>
      </c>
      <c r="D36">
        <v>5</v>
      </c>
      <c r="E36" t="s">
        <v>5</v>
      </c>
      <c r="F36" t="s">
        <v>95</v>
      </c>
      <c r="H36">
        <v>1</v>
      </c>
    </row>
    <row r="37" spans="1:8" x14ac:dyDescent="0.45">
      <c r="A37">
        <v>2</v>
      </c>
      <c r="B37" t="s">
        <v>68</v>
      </c>
      <c r="C37">
        <v>1201</v>
      </c>
      <c r="D37">
        <v>6</v>
      </c>
      <c r="E37" t="s">
        <v>5</v>
      </c>
      <c r="F37" t="s">
        <v>55</v>
      </c>
      <c r="H37">
        <v>1</v>
      </c>
    </row>
    <row r="38" spans="1:8" x14ac:dyDescent="0.45">
      <c r="A38">
        <v>2</v>
      </c>
      <c r="B38" t="s">
        <v>68</v>
      </c>
      <c r="C38">
        <v>1201</v>
      </c>
      <c r="D38">
        <v>7</v>
      </c>
      <c r="E38" t="s">
        <v>5</v>
      </c>
      <c r="F38" t="s">
        <v>96</v>
      </c>
      <c r="H38">
        <v>1</v>
      </c>
    </row>
    <row r="39" spans="1:8" x14ac:dyDescent="0.45">
      <c r="A39">
        <v>2</v>
      </c>
      <c r="B39" t="s">
        <v>68</v>
      </c>
      <c r="C39">
        <v>1201</v>
      </c>
      <c r="D39">
        <v>8</v>
      </c>
      <c r="E39" t="s">
        <v>7</v>
      </c>
      <c r="F39" t="s">
        <v>10</v>
      </c>
      <c r="H39">
        <v>1</v>
      </c>
    </row>
    <row r="40" spans="1:8" x14ac:dyDescent="0.45">
      <c r="A40">
        <v>2</v>
      </c>
      <c r="B40" t="s">
        <v>68</v>
      </c>
      <c r="C40">
        <v>1601</v>
      </c>
      <c r="D40">
        <v>1</v>
      </c>
      <c r="E40" t="s">
        <v>7</v>
      </c>
      <c r="F40" t="s">
        <v>10</v>
      </c>
      <c r="H40">
        <v>1</v>
      </c>
    </row>
    <row r="41" spans="1:8" x14ac:dyDescent="0.45">
      <c r="A41">
        <v>2</v>
      </c>
      <c r="B41" t="s">
        <v>68</v>
      </c>
      <c r="C41">
        <v>1601</v>
      </c>
      <c r="D41">
        <v>2</v>
      </c>
      <c r="E41" t="s">
        <v>5</v>
      </c>
      <c r="F41" t="s">
        <v>97</v>
      </c>
      <c r="H41">
        <v>1</v>
      </c>
    </row>
    <row r="42" spans="1:8" x14ac:dyDescent="0.45">
      <c r="A42">
        <v>2</v>
      </c>
      <c r="B42" t="s">
        <v>68</v>
      </c>
      <c r="C42">
        <v>1601</v>
      </c>
      <c r="D42">
        <v>3</v>
      </c>
      <c r="E42" t="s">
        <v>7</v>
      </c>
      <c r="F42" t="s">
        <v>10</v>
      </c>
      <c r="H42">
        <v>1</v>
      </c>
    </row>
    <row r="43" spans="1:8" x14ac:dyDescent="0.45">
      <c r="A43">
        <v>2</v>
      </c>
      <c r="B43" t="s">
        <v>68</v>
      </c>
      <c r="C43">
        <v>1601</v>
      </c>
      <c r="D43">
        <v>4</v>
      </c>
      <c r="E43" t="s">
        <v>7</v>
      </c>
      <c r="F43" t="s">
        <v>9</v>
      </c>
      <c r="H43">
        <v>1</v>
      </c>
    </row>
    <row r="44" spans="1:8" x14ac:dyDescent="0.45">
      <c r="A44">
        <v>2</v>
      </c>
      <c r="B44" t="s">
        <v>68</v>
      </c>
      <c r="C44">
        <v>1601</v>
      </c>
      <c r="D44">
        <v>5</v>
      </c>
      <c r="E44" t="s">
        <v>5</v>
      </c>
      <c r="F44" t="s">
        <v>98</v>
      </c>
      <c r="H44">
        <v>1</v>
      </c>
    </row>
    <row r="45" spans="1:8" x14ac:dyDescent="0.45">
      <c r="A45">
        <v>2</v>
      </c>
      <c r="B45" t="s">
        <v>68</v>
      </c>
      <c r="C45">
        <v>1601</v>
      </c>
      <c r="D45">
        <v>6</v>
      </c>
      <c r="E45" t="s">
        <v>5</v>
      </c>
      <c r="F45" t="s">
        <v>99</v>
      </c>
      <c r="H45">
        <v>1</v>
      </c>
    </row>
    <row r="46" spans="1:8" x14ac:dyDescent="0.45">
      <c r="A46">
        <v>2</v>
      </c>
      <c r="B46" t="s">
        <v>68</v>
      </c>
      <c r="C46">
        <v>1601</v>
      </c>
      <c r="D46">
        <v>7</v>
      </c>
      <c r="E46" t="s">
        <v>5</v>
      </c>
      <c r="F46" t="s">
        <v>100</v>
      </c>
      <c r="H46">
        <v>1</v>
      </c>
    </row>
    <row r="47" spans="1:8" x14ac:dyDescent="0.45">
      <c r="A47">
        <v>2</v>
      </c>
      <c r="B47" t="s">
        <v>68</v>
      </c>
      <c r="C47">
        <v>1601</v>
      </c>
      <c r="D47">
        <v>8</v>
      </c>
      <c r="E47" t="s">
        <v>5</v>
      </c>
      <c r="F47" t="s">
        <v>101</v>
      </c>
      <c r="H47">
        <v>1</v>
      </c>
    </row>
    <row r="48" spans="1:8" x14ac:dyDescent="0.45">
      <c r="A48">
        <v>2</v>
      </c>
      <c r="B48" t="s">
        <v>68</v>
      </c>
      <c r="C48">
        <v>1601</v>
      </c>
      <c r="D48">
        <v>9</v>
      </c>
      <c r="E48" t="s">
        <v>5</v>
      </c>
      <c r="F48" t="s">
        <v>102</v>
      </c>
      <c r="H48">
        <v>1</v>
      </c>
    </row>
    <row r="49" spans="1:8" x14ac:dyDescent="0.45">
      <c r="A49">
        <v>2</v>
      </c>
      <c r="B49" t="s">
        <v>68</v>
      </c>
      <c r="C49">
        <v>1601</v>
      </c>
      <c r="D49">
        <v>10</v>
      </c>
      <c r="E49" t="s">
        <v>5</v>
      </c>
      <c r="F49" t="s">
        <v>103</v>
      </c>
      <c r="H49">
        <v>1</v>
      </c>
    </row>
    <row r="50" spans="1:8" x14ac:dyDescent="0.45">
      <c r="A50">
        <v>2</v>
      </c>
      <c r="B50" t="s">
        <v>760</v>
      </c>
      <c r="C50">
        <v>1601</v>
      </c>
      <c r="D50">
        <v>1</v>
      </c>
      <c r="E50" t="s">
        <v>5</v>
      </c>
      <c r="F50" t="s">
        <v>542</v>
      </c>
      <c r="G50" t="s">
        <v>171</v>
      </c>
      <c r="H50">
        <v>1</v>
      </c>
    </row>
    <row r="51" spans="1:8" x14ac:dyDescent="0.45">
      <c r="A51">
        <v>2</v>
      </c>
      <c r="B51" t="s">
        <v>760</v>
      </c>
      <c r="C51">
        <v>1601</v>
      </c>
      <c r="D51">
        <v>2</v>
      </c>
      <c r="E51" t="s">
        <v>7</v>
      </c>
      <c r="F51" t="s">
        <v>661</v>
      </c>
      <c r="H51">
        <v>1</v>
      </c>
    </row>
    <row r="52" spans="1:8" x14ac:dyDescent="0.45">
      <c r="A52">
        <v>2</v>
      </c>
      <c r="B52" t="s">
        <v>760</v>
      </c>
      <c r="C52">
        <v>1601</v>
      </c>
      <c r="D52">
        <v>3</v>
      </c>
      <c r="E52" t="s">
        <v>5</v>
      </c>
      <c r="F52" t="s">
        <v>761</v>
      </c>
      <c r="H52">
        <v>1</v>
      </c>
    </row>
    <row r="53" spans="1:8" x14ac:dyDescent="0.45">
      <c r="A53">
        <v>2</v>
      </c>
      <c r="B53" t="s">
        <v>760</v>
      </c>
      <c r="C53">
        <v>1601</v>
      </c>
      <c r="D53">
        <v>4</v>
      </c>
      <c r="E53" t="s">
        <v>5</v>
      </c>
      <c r="F53" t="s">
        <v>762</v>
      </c>
      <c r="H53">
        <v>1</v>
      </c>
    </row>
    <row r="54" spans="1:8" x14ac:dyDescent="0.45">
      <c r="A54">
        <v>2</v>
      </c>
      <c r="B54" t="s">
        <v>760</v>
      </c>
      <c r="C54">
        <v>1601</v>
      </c>
      <c r="D54">
        <v>5</v>
      </c>
      <c r="E54" t="s">
        <v>5</v>
      </c>
      <c r="F54" t="s">
        <v>763</v>
      </c>
      <c r="H54">
        <v>1</v>
      </c>
    </row>
    <row r="55" spans="1:8" x14ac:dyDescent="0.45">
      <c r="A55">
        <v>2</v>
      </c>
      <c r="B55" t="s">
        <v>760</v>
      </c>
      <c r="C55">
        <v>1601</v>
      </c>
      <c r="D55">
        <v>6</v>
      </c>
      <c r="E55" t="s">
        <v>5</v>
      </c>
      <c r="F55" t="s">
        <v>307</v>
      </c>
      <c r="H55">
        <v>1</v>
      </c>
    </row>
    <row r="56" spans="1:8" x14ac:dyDescent="0.45">
      <c r="A56">
        <v>2</v>
      </c>
      <c r="B56" t="s">
        <v>760</v>
      </c>
      <c r="C56">
        <v>1601</v>
      </c>
      <c r="D56">
        <v>7</v>
      </c>
      <c r="E56" t="s">
        <v>5</v>
      </c>
      <c r="F56" t="s">
        <v>345</v>
      </c>
      <c r="G56" t="s">
        <v>171</v>
      </c>
      <c r="H56">
        <v>1</v>
      </c>
    </row>
    <row r="57" spans="1:8" x14ac:dyDescent="0.45">
      <c r="A57">
        <v>2</v>
      </c>
      <c r="B57" t="s">
        <v>760</v>
      </c>
      <c r="C57">
        <v>1601</v>
      </c>
      <c r="D57">
        <v>8</v>
      </c>
      <c r="E57" t="s">
        <v>5</v>
      </c>
      <c r="F57" t="s">
        <v>764</v>
      </c>
      <c r="H57">
        <v>1</v>
      </c>
    </row>
    <row r="58" spans="1:8" x14ac:dyDescent="0.45">
      <c r="A58">
        <v>2</v>
      </c>
      <c r="B58" t="s">
        <v>760</v>
      </c>
      <c r="C58">
        <v>1601</v>
      </c>
      <c r="D58">
        <v>9</v>
      </c>
      <c r="E58" t="s">
        <v>5</v>
      </c>
      <c r="F58" t="s">
        <v>663</v>
      </c>
      <c r="H58">
        <v>1</v>
      </c>
    </row>
    <row r="59" spans="1:8" x14ac:dyDescent="0.45">
      <c r="A59">
        <v>2</v>
      </c>
      <c r="B59" t="s">
        <v>760</v>
      </c>
      <c r="C59">
        <v>1601</v>
      </c>
      <c r="D59">
        <v>10</v>
      </c>
      <c r="E59" t="s">
        <v>7</v>
      </c>
      <c r="F59" t="s">
        <v>9</v>
      </c>
      <c r="H59">
        <v>1</v>
      </c>
    </row>
    <row r="60" spans="1:8" x14ac:dyDescent="0.45">
      <c r="A60">
        <v>2</v>
      </c>
      <c r="B60" t="s">
        <v>760</v>
      </c>
      <c r="C60">
        <v>1601</v>
      </c>
      <c r="D60">
        <v>11</v>
      </c>
      <c r="E60" t="s">
        <v>5</v>
      </c>
      <c r="F60" t="s">
        <v>766</v>
      </c>
      <c r="H60">
        <v>1</v>
      </c>
    </row>
    <row r="61" spans="1:8" x14ac:dyDescent="0.45">
      <c r="A61">
        <v>2</v>
      </c>
      <c r="B61" t="s">
        <v>760</v>
      </c>
      <c r="C61">
        <v>1601</v>
      </c>
      <c r="D61">
        <v>12</v>
      </c>
      <c r="E61" t="s">
        <v>5</v>
      </c>
      <c r="F61" t="s">
        <v>765</v>
      </c>
      <c r="H61">
        <v>1</v>
      </c>
    </row>
    <row r="62" spans="1:8" x14ac:dyDescent="0.45">
      <c r="A62">
        <v>2</v>
      </c>
      <c r="B62" t="s">
        <v>760</v>
      </c>
      <c r="C62">
        <v>1201</v>
      </c>
      <c r="D62">
        <v>1</v>
      </c>
      <c r="E62" t="s">
        <v>5</v>
      </c>
      <c r="F62" t="s">
        <v>767</v>
      </c>
      <c r="H62">
        <v>1</v>
      </c>
    </row>
    <row r="63" spans="1:8" x14ac:dyDescent="0.45">
      <c r="A63">
        <v>2</v>
      </c>
      <c r="B63" t="s">
        <v>760</v>
      </c>
      <c r="C63">
        <v>1201</v>
      </c>
      <c r="D63">
        <v>2</v>
      </c>
      <c r="E63" t="s">
        <v>7</v>
      </c>
      <c r="F63" t="s">
        <v>11</v>
      </c>
      <c r="H63">
        <v>1</v>
      </c>
    </row>
    <row r="64" spans="1:8" x14ac:dyDescent="0.45">
      <c r="A64">
        <v>2</v>
      </c>
      <c r="B64" t="s">
        <v>760</v>
      </c>
      <c r="C64">
        <v>1201</v>
      </c>
      <c r="D64">
        <v>3</v>
      </c>
      <c r="E64" t="s">
        <v>5</v>
      </c>
      <c r="F64" t="s">
        <v>628</v>
      </c>
      <c r="H64">
        <v>1</v>
      </c>
    </row>
    <row r="65" spans="1:8" x14ac:dyDescent="0.45">
      <c r="A65">
        <v>2</v>
      </c>
      <c r="B65" t="s">
        <v>760</v>
      </c>
      <c r="C65">
        <v>1201</v>
      </c>
      <c r="D65">
        <v>4</v>
      </c>
      <c r="E65" t="s">
        <v>5</v>
      </c>
      <c r="F65" t="s">
        <v>187</v>
      </c>
      <c r="H65">
        <v>1</v>
      </c>
    </row>
    <row r="66" spans="1:8" x14ac:dyDescent="0.45">
      <c r="A66">
        <v>2</v>
      </c>
      <c r="B66" t="s">
        <v>760</v>
      </c>
      <c r="C66">
        <v>1201</v>
      </c>
      <c r="D66">
        <v>5</v>
      </c>
      <c r="E66" t="s">
        <v>5</v>
      </c>
      <c r="F66" t="s">
        <v>178</v>
      </c>
      <c r="G66" t="s">
        <v>171</v>
      </c>
      <c r="H66">
        <v>1</v>
      </c>
    </row>
    <row r="67" spans="1:8" x14ac:dyDescent="0.45">
      <c r="A67">
        <v>2</v>
      </c>
      <c r="B67" t="s">
        <v>760</v>
      </c>
      <c r="C67">
        <v>1201</v>
      </c>
      <c r="D67">
        <v>6</v>
      </c>
      <c r="E67" t="s">
        <v>5</v>
      </c>
      <c r="F67" t="s">
        <v>768</v>
      </c>
      <c r="G67" t="s">
        <v>171</v>
      </c>
      <c r="H67">
        <v>1</v>
      </c>
    </row>
    <row r="68" spans="1:8" x14ac:dyDescent="0.45">
      <c r="A68">
        <v>2</v>
      </c>
      <c r="B68" t="s">
        <v>760</v>
      </c>
      <c r="C68">
        <v>1201</v>
      </c>
      <c r="D68">
        <v>7</v>
      </c>
      <c r="E68" t="s">
        <v>5</v>
      </c>
      <c r="F68" t="s">
        <v>334</v>
      </c>
      <c r="G68" t="s">
        <v>171</v>
      </c>
      <c r="H68">
        <v>1</v>
      </c>
    </row>
    <row r="69" spans="1:8" x14ac:dyDescent="0.45">
      <c r="A69">
        <v>2</v>
      </c>
      <c r="B69" t="s">
        <v>760</v>
      </c>
      <c r="C69">
        <v>1201</v>
      </c>
      <c r="D69">
        <v>8</v>
      </c>
      <c r="E69" t="s">
        <v>5</v>
      </c>
      <c r="F69" t="s">
        <v>769</v>
      </c>
      <c r="H69">
        <v>1</v>
      </c>
    </row>
    <row r="70" spans="1:8" x14ac:dyDescent="0.45">
      <c r="A70">
        <v>2</v>
      </c>
      <c r="B70" t="s">
        <v>760</v>
      </c>
      <c r="C70">
        <v>1201</v>
      </c>
      <c r="D70">
        <v>9</v>
      </c>
      <c r="E70" t="s">
        <v>5</v>
      </c>
      <c r="F70" t="s">
        <v>770</v>
      </c>
      <c r="G70" t="s">
        <v>171</v>
      </c>
      <c r="H70">
        <v>1</v>
      </c>
    </row>
    <row r="71" spans="1:8" x14ac:dyDescent="0.45">
      <c r="A71">
        <v>2</v>
      </c>
      <c r="B71" t="s">
        <v>760</v>
      </c>
      <c r="C71">
        <v>1201</v>
      </c>
      <c r="D71">
        <v>10</v>
      </c>
      <c r="E71" t="s">
        <v>7</v>
      </c>
      <c r="F71" t="s">
        <v>9</v>
      </c>
      <c r="H71">
        <v>1</v>
      </c>
    </row>
    <row r="72" spans="1:8" x14ac:dyDescent="0.45">
      <c r="A72">
        <v>2</v>
      </c>
      <c r="B72" t="s">
        <v>760</v>
      </c>
      <c r="C72">
        <v>801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2</v>
      </c>
      <c r="B73" t="s">
        <v>760</v>
      </c>
      <c r="C73">
        <v>801</v>
      </c>
      <c r="D73">
        <v>2</v>
      </c>
      <c r="E73" t="s">
        <v>5</v>
      </c>
      <c r="F73" t="s">
        <v>772</v>
      </c>
      <c r="H73">
        <v>1</v>
      </c>
    </row>
    <row r="74" spans="1:8" x14ac:dyDescent="0.45">
      <c r="A74">
        <v>2</v>
      </c>
      <c r="B74" t="s">
        <v>760</v>
      </c>
      <c r="C74">
        <v>801</v>
      </c>
      <c r="D74">
        <v>3</v>
      </c>
      <c r="E74" t="s">
        <v>5</v>
      </c>
      <c r="F74" t="s">
        <v>771</v>
      </c>
      <c r="H74">
        <v>1</v>
      </c>
    </row>
    <row r="75" spans="1:8" x14ac:dyDescent="0.45">
      <c r="A75">
        <v>2</v>
      </c>
      <c r="B75" t="s">
        <v>760</v>
      </c>
      <c r="C75">
        <v>801</v>
      </c>
      <c r="D75">
        <v>4</v>
      </c>
      <c r="E75" t="s">
        <v>5</v>
      </c>
      <c r="F75" t="s">
        <v>327</v>
      </c>
      <c r="H75">
        <v>1</v>
      </c>
    </row>
    <row r="76" spans="1:8" x14ac:dyDescent="0.45">
      <c r="A76">
        <v>2</v>
      </c>
      <c r="B76" t="s">
        <v>760</v>
      </c>
      <c r="C76">
        <v>801</v>
      </c>
      <c r="D76">
        <v>5</v>
      </c>
      <c r="E76" t="s">
        <v>5</v>
      </c>
      <c r="F76" t="s">
        <v>775</v>
      </c>
      <c r="H76">
        <v>1</v>
      </c>
    </row>
    <row r="77" spans="1:8" x14ac:dyDescent="0.45">
      <c r="A77">
        <v>2</v>
      </c>
      <c r="B77" t="s">
        <v>760</v>
      </c>
      <c r="C77">
        <v>801</v>
      </c>
      <c r="D77">
        <v>6</v>
      </c>
      <c r="E77" t="s">
        <v>5</v>
      </c>
      <c r="F77" t="s">
        <v>557</v>
      </c>
      <c r="H77">
        <v>1</v>
      </c>
    </row>
    <row r="78" spans="1:8" x14ac:dyDescent="0.45">
      <c r="A78">
        <v>2</v>
      </c>
      <c r="B78" t="s">
        <v>760</v>
      </c>
      <c r="C78">
        <v>801</v>
      </c>
      <c r="D78">
        <v>7</v>
      </c>
      <c r="E78" t="s">
        <v>5</v>
      </c>
      <c r="F78" t="s">
        <v>774</v>
      </c>
      <c r="H78">
        <v>1</v>
      </c>
    </row>
    <row r="79" spans="1:8" x14ac:dyDescent="0.45">
      <c r="A79">
        <v>2</v>
      </c>
      <c r="B79" t="s">
        <v>760</v>
      </c>
      <c r="C79">
        <v>801</v>
      </c>
      <c r="D79">
        <v>8</v>
      </c>
      <c r="E79" t="s">
        <v>7</v>
      </c>
      <c r="F79" t="s">
        <v>9</v>
      </c>
      <c r="H79">
        <v>1</v>
      </c>
    </row>
    <row r="80" spans="1:8" x14ac:dyDescent="0.45">
      <c r="A80">
        <v>2</v>
      </c>
      <c r="B80" t="s">
        <v>760</v>
      </c>
      <c r="C80">
        <v>801</v>
      </c>
      <c r="D80">
        <v>9</v>
      </c>
      <c r="E80" t="s">
        <v>5</v>
      </c>
      <c r="F80" t="s">
        <v>773</v>
      </c>
      <c r="H80">
        <v>1</v>
      </c>
    </row>
    <row r="81" spans="1:8" x14ac:dyDescent="0.45">
      <c r="A81">
        <v>2</v>
      </c>
      <c r="B81" t="s">
        <v>760</v>
      </c>
      <c r="C81">
        <v>801</v>
      </c>
      <c r="D81">
        <v>10</v>
      </c>
      <c r="E81" t="s">
        <v>5</v>
      </c>
      <c r="F81" t="s">
        <v>455</v>
      </c>
      <c r="H81">
        <v>1</v>
      </c>
    </row>
    <row r="82" spans="1:8" x14ac:dyDescent="0.45">
      <c r="A82">
        <v>2</v>
      </c>
      <c r="B82" t="s">
        <v>760</v>
      </c>
      <c r="C82">
        <v>401</v>
      </c>
      <c r="D82">
        <v>1</v>
      </c>
      <c r="E82" t="s">
        <v>5</v>
      </c>
      <c r="F82" t="s">
        <v>776</v>
      </c>
      <c r="H82">
        <v>1</v>
      </c>
    </row>
    <row r="83" spans="1:8" x14ac:dyDescent="0.45">
      <c r="A83">
        <v>2</v>
      </c>
      <c r="B83" t="s">
        <v>760</v>
      </c>
      <c r="C83">
        <v>401</v>
      </c>
      <c r="D83">
        <v>2</v>
      </c>
      <c r="E83" t="s">
        <v>5</v>
      </c>
      <c r="F83" t="s">
        <v>777</v>
      </c>
      <c r="G83" t="s">
        <v>171</v>
      </c>
      <c r="H83">
        <v>1</v>
      </c>
    </row>
    <row r="84" spans="1:8" x14ac:dyDescent="0.45">
      <c r="A84">
        <v>2</v>
      </c>
      <c r="B84" t="s">
        <v>760</v>
      </c>
      <c r="C84">
        <v>401</v>
      </c>
      <c r="D84">
        <v>3</v>
      </c>
      <c r="E84" t="s">
        <v>7</v>
      </c>
      <c r="F84" t="s">
        <v>9</v>
      </c>
      <c r="H84">
        <v>1</v>
      </c>
    </row>
    <row r="85" spans="1:8" x14ac:dyDescent="0.45">
      <c r="A85">
        <v>2</v>
      </c>
      <c r="B85" t="s">
        <v>760</v>
      </c>
      <c r="C85">
        <v>401</v>
      </c>
      <c r="D85">
        <v>4</v>
      </c>
      <c r="E85" t="s">
        <v>5</v>
      </c>
      <c r="F85" t="s">
        <v>244</v>
      </c>
      <c r="H85">
        <v>1</v>
      </c>
    </row>
    <row r="86" spans="1:8" x14ac:dyDescent="0.45">
      <c r="A86">
        <v>2</v>
      </c>
      <c r="B86" t="s">
        <v>760</v>
      </c>
      <c r="C86">
        <v>401</v>
      </c>
      <c r="D86">
        <v>5</v>
      </c>
      <c r="E86" t="s">
        <v>5</v>
      </c>
      <c r="F86" t="s">
        <v>244</v>
      </c>
      <c r="H86">
        <v>1</v>
      </c>
    </row>
    <row r="87" spans="1:8" x14ac:dyDescent="0.45">
      <c r="A87">
        <v>2</v>
      </c>
      <c r="B87" t="s">
        <v>760</v>
      </c>
      <c r="C87">
        <v>401</v>
      </c>
      <c r="D87">
        <v>6</v>
      </c>
      <c r="E87" t="s">
        <v>5</v>
      </c>
      <c r="F87" t="s">
        <v>778</v>
      </c>
      <c r="H87">
        <v>1</v>
      </c>
    </row>
    <row r="88" spans="1:8" x14ac:dyDescent="0.45">
      <c r="A88">
        <v>2</v>
      </c>
      <c r="B88" t="s">
        <v>760</v>
      </c>
      <c r="C88">
        <v>401</v>
      </c>
      <c r="D88">
        <v>7</v>
      </c>
      <c r="E88" t="s">
        <v>5</v>
      </c>
      <c r="F88" t="s">
        <v>616</v>
      </c>
      <c r="H88">
        <v>1</v>
      </c>
    </row>
    <row r="89" spans="1:8" x14ac:dyDescent="0.45">
      <c r="A89">
        <v>2</v>
      </c>
      <c r="B89" t="s">
        <v>760</v>
      </c>
      <c r="C89">
        <v>401</v>
      </c>
      <c r="D89">
        <v>8</v>
      </c>
      <c r="E89" t="s">
        <v>7</v>
      </c>
      <c r="F89" t="s">
        <v>9</v>
      </c>
      <c r="H89">
        <v>1</v>
      </c>
    </row>
    <row r="90" spans="1:8" x14ac:dyDescent="0.45">
      <c r="A90">
        <v>2</v>
      </c>
      <c r="B90" t="s">
        <v>760</v>
      </c>
      <c r="C90">
        <v>401</v>
      </c>
      <c r="D90">
        <v>9</v>
      </c>
      <c r="E90" t="s">
        <v>5</v>
      </c>
      <c r="F90" t="s">
        <v>123</v>
      </c>
      <c r="G90" t="s">
        <v>171</v>
      </c>
      <c r="H90">
        <v>1</v>
      </c>
    </row>
    <row r="91" spans="1:8" x14ac:dyDescent="0.45">
      <c r="A91">
        <v>2</v>
      </c>
      <c r="B91" t="s">
        <v>760</v>
      </c>
      <c r="C91">
        <v>1</v>
      </c>
      <c r="D91">
        <v>1</v>
      </c>
      <c r="E91" t="s">
        <v>7</v>
      </c>
      <c r="F91" t="s">
        <v>9</v>
      </c>
      <c r="H91">
        <v>1</v>
      </c>
    </row>
    <row r="92" spans="1:8" x14ac:dyDescent="0.45">
      <c r="A92">
        <v>2</v>
      </c>
      <c r="B92" t="s">
        <v>760</v>
      </c>
      <c r="C92">
        <v>1</v>
      </c>
      <c r="D92">
        <v>2</v>
      </c>
      <c r="E92" t="s">
        <v>7</v>
      </c>
      <c r="F92" t="s">
        <v>9</v>
      </c>
      <c r="H92">
        <v>1</v>
      </c>
    </row>
    <row r="93" spans="1:8" x14ac:dyDescent="0.45">
      <c r="A93">
        <v>2</v>
      </c>
      <c r="B93" t="s">
        <v>760</v>
      </c>
      <c r="C93">
        <v>1</v>
      </c>
      <c r="D93">
        <v>3</v>
      </c>
      <c r="E93" t="s">
        <v>5</v>
      </c>
      <c r="F93" t="s">
        <v>105</v>
      </c>
      <c r="H93">
        <v>1</v>
      </c>
    </row>
    <row r="94" spans="1:8" x14ac:dyDescent="0.45">
      <c r="A94">
        <v>2</v>
      </c>
      <c r="B94" t="s">
        <v>760</v>
      </c>
      <c r="C94">
        <v>1</v>
      </c>
      <c r="D94">
        <v>4</v>
      </c>
      <c r="E94" t="s">
        <v>7</v>
      </c>
      <c r="F94" t="s">
        <v>9</v>
      </c>
      <c r="H94">
        <v>1</v>
      </c>
    </row>
    <row r="95" spans="1:8" x14ac:dyDescent="0.45">
      <c r="A95">
        <v>2</v>
      </c>
      <c r="B95" t="s">
        <v>760</v>
      </c>
      <c r="C95">
        <v>1</v>
      </c>
      <c r="D95">
        <v>5</v>
      </c>
      <c r="E95" t="s">
        <v>5</v>
      </c>
      <c r="F95" t="s">
        <v>69</v>
      </c>
      <c r="G95" t="s">
        <v>171</v>
      </c>
      <c r="H95">
        <v>1</v>
      </c>
    </row>
    <row r="96" spans="1:8" x14ac:dyDescent="0.45">
      <c r="A96">
        <v>2</v>
      </c>
      <c r="B96" t="s">
        <v>760</v>
      </c>
      <c r="C96">
        <v>1</v>
      </c>
      <c r="D96">
        <v>6</v>
      </c>
      <c r="E96" t="s">
        <v>5</v>
      </c>
      <c r="F96" t="s">
        <v>780</v>
      </c>
      <c r="H96">
        <v>1</v>
      </c>
    </row>
    <row r="97" spans="1:8" x14ac:dyDescent="0.45">
      <c r="A97">
        <v>2</v>
      </c>
      <c r="B97" t="s">
        <v>760</v>
      </c>
      <c r="C97">
        <v>1</v>
      </c>
      <c r="D97">
        <v>7</v>
      </c>
      <c r="E97" t="s">
        <v>18</v>
      </c>
      <c r="F97" t="s">
        <v>809</v>
      </c>
      <c r="H97">
        <v>1</v>
      </c>
    </row>
    <row r="98" spans="1:8" x14ac:dyDescent="0.45">
      <c r="A98">
        <v>2</v>
      </c>
      <c r="B98" t="s">
        <v>760</v>
      </c>
      <c r="C98">
        <v>1</v>
      </c>
      <c r="D98">
        <v>8</v>
      </c>
      <c r="E98" t="s">
        <v>5</v>
      </c>
      <c r="F98" t="s">
        <v>208</v>
      </c>
      <c r="H98">
        <v>1</v>
      </c>
    </row>
    <row r="99" spans="1:8" x14ac:dyDescent="0.45">
      <c r="A99">
        <v>2</v>
      </c>
      <c r="B99" t="s">
        <v>760</v>
      </c>
      <c r="C99">
        <v>1</v>
      </c>
      <c r="D99">
        <v>9</v>
      </c>
      <c r="E99" t="s">
        <v>7</v>
      </c>
      <c r="F99" t="s">
        <v>11</v>
      </c>
      <c r="H99">
        <v>1</v>
      </c>
    </row>
    <row r="100" spans="1:8" x14ac:dyDescent="0.45">
      <c r="A100">
        <v>2</v>
      </c>
      <c r="B100" t="s">
        <v>760</v>
      </c>
      <c r="C100">
        <v>1</v>
      </c>
      <c r="D100">
        <v>10</v>
      </c>
      <c r="E100" t="s">
        <v>7</v>
      </c>
      <c r="F100" t="s">
        <v>9</v>
      </c>
      <c r="H100">
        <v>1</v>
      </c>
    </row>
    <row r="101" spans="1:8" x14ac:dyDescent="0.45">
      <c r="A101">
        <v>2</v>
      </c>
      <c r="B101" t="s">
        <v>760</v>
      </c>
      <c r="C101">
        <v>1</v>
      </c>
      <c r="D101">
        <v>11</v>
      </c>
      <c r="E101" t="s">
        <v>5</v>
      </c>
      <c r="F101" t="s">
        <v>779</v>
      </c>
      <c r="H101">
        <v>1</v>
      </c>
    </row>
    <row r="102" spans="1:8" x14ac:dyDescent="0.45">
      <c r="A102">
        <v>2</v>
      </c>
      <c r="B102" t="s">
        <v>781</v>
      </c>
      <c r="C102">
        <v>1601</v>
      </c>
      <c r="D102">
        <v>1</v>
      </c>
      <c r="E102" t="s">
        <v>7</v>
      </c>
      <c r="F102" t="s">
        <v>10</v>
      </c>
      <c r="H102">
        <v>1</v>
      </c>
    </row>
    <row r="103" spans="1:8" x14ac:dyDescent="0.45">
      <c r="A103">
        <v>2</v>
      </c>
      <c r="B103" t="s">
        <v>781</v>
      </c>
      <c r="C103">
        <v>1601</v>
      </c>
      <c r="D103">
        <v>2</v>
      </c>
      <c r="E103" t="s">
        <v>5</v>
      </c>
      <c r="F103" t="s">
        <v>782</v>
      </c>
      <c r="H103">
        <v>1</v>
      </c>
    </row>
    <row r="104" spans="1:8" x14ac:dyDescent="0.45">
      <c r="A104">
        <v>2</v>
      </c>
      <c r="B104" t="s">
        <v>781</v>
      </c>
      <c r="C104">
        <v>1601</v>
      </c>
      <c r="D104">
        <v>3</v>
      </c>
      <c r="E104" t="s">
        <v>7</v>
      </c>
      <c r="F104" t="s">
        <v>751</v>
      </c>
      <c r="H104">
        <v>1</v>
      </c>
    </row>
    <row r="105" spans="1:8" x14ac:dyDescent="0.45">
      <c r="A105">
        <v>2</v>
      </c>
      <c r="B105" t="s">
        <v>781</v>
      </c>
      <c r="C105">
        <v>1601</v>
      </c>
      <c r="D105">
        <v>4</v>
      </c>
      <c r="E105" t="s">
        <v>7</v>
      </c>
      <c r="F105" t="s">
        <v>751</v>
      </c>
      <c r="H105">
        <v>1</v>
      </c>
    </row>
    <row r="106" spans="1:8" x14ac:dyDescent="0.45">
      <c r="A106">
        <v>2</v>
      </c>
      <c r="B106" t="s">
        <v>781</v>
      </c>
      <c r="C106">
        <v>1601</v>
      </c>
      <c r="D106">
        <v>5</v>
      </c>
      <c r="E106" t="s">
        <v>5</v>
      </c>
      <c r="F106" t="s">
        <v>102</v>
      </c>
      <c r="H106">
        <v>1</v>
      </c>
    </row>
    <row r="107" spans="1:8" x14ac:dyDescent="0.45">
      <c r="A107">
        <v>2</v>
      </c>
      <c r="B107" t="s">
        <v>781</v>
      </c>
      <c r="C107">
        <v>1601</v>
      </c>
      <c r="D107">
        <v>6</v>
      </c>
      <c r="E107" t="s">
        <v>7</v>
      </c>
      <c r="F107" t="s">
        <v>9</v>
      </c>
      <c r="H107">
        <v>1</v>
      </c>
    </row>
    <row r="108" spans="1:8" x14ac:dyDescent="0.45">
      <c r="A108">
        <v>2</v>
      </c>
      <c r="B108" t="s">
        <v>781</v>
      </c>
      <c r="C108">
        <v>1601</v>
      </c>
      <c r="D108">
        <v>7</v>
      </c>
      <c r="E108" t="s">
        <v>5</v>
      </c>
      <c r="F108" t="s">
        <v>784</v>
      </c>
      <c r="H108">
        <v>1</v>
      </c>
    </row>
    <row r="109" spans="1:8" x14ac:dyDescent="0.45">
      <c r="A109">
        <v>2</v>
      </c>
      <c r="B109" t="s">
        <v>781</v>
      </c>
      <c r="C109">
        <v>1601</v>
      </c>
      <c r="D109">
        <v>8</v>
      </c>
      <c r="E109" t="s">
        <v>5</v>
      </c>
      <c r="F109" t="s">
        <v>783</v>
      </c>
      <c r="H109">
        <v>1</v>
      </c>
    </row>
    <row r="110" spans="1:8" x14ac:dyDescent="0.45">
      <c r="A110">
        <v>2</v>
      </c>
      <c r="B110" t="s">
        <v>781</v>
      </c>
      <c r="C110">
        <v>1601</v>
      </c>
      <c r="D110">
        <v>9</v>
      </c>
      <c r="E110" t="s">
        <v>7</v>
      </c>
      <c r="F110" t="s">
        <v>10</v>
      </c>
      <c r="H110">
        <v>1</v>
      </c>
    </row>
    <row r="111" spans="1:8" x14ac:dyDescent="0.45">
      <c r="A111">
        <v>2</v>
      </c>
      <c r="B111" t="s">
        <v>781</v>
      </c>
      <c r="C111">
        <v>1601</v>
      </c>
      <c r="D111">
        <v>10</v>
      </c>
      <c r="E111" t="s">
        <v>5</v>
      </c>
      <c r="F111" t="s">
        <v>430</v>
      </c>
      <c r="H111">
        <v>1</v>
      </c>
    </row>
    <row r="112" spans="1:8" x14ac:dyDescent="0.45">
      <c r="A112">
        <v>2</v>
      </c>
      <c r="B112" t="s">
        <v>781</v>
      </c>
      <c r="C112">
        <v>1601</v>
      </c>
      <c r="D112">
        <v>11</v>
      </c>
      <c r="E112" t="s">
        <v>5</v>
      </c>
      <c r="F112" t="s">
        <v>476</v>
      </c>
      <c r="G112" t="s">
        <v>171</v>
      </c>
      <c r="H112">
        <v>1</v>
      </c>
    </row>
    <row r="113" spans="1:8" x14ac:dyDescent="0.45">
      <c r="A113">
        <v>2</v>
      </c>
      <c r="B113" t="s">
        <v>781</v>
      </c>
      <c r="C113">
        <v>1601</v>
      </c>
      <c r="D113">
        <v>12</v>
      </c>
      <c r="E113" t="s">
        <v>5</v>
      </c>
      <c r="F113" t="s">
        <v>423</v>
      </c>
      <c r="H113">
        <v>1</v>
      </c>
    </row>
    <row r="114" spans="1:8" x14ac:dyDescent="0.45">
      <c r="A114">
        <v>2</v>
      </c>
      <c r="B114" t="s">
        <v>781</v>
      </c>
      <c r="C114">
        <v>1601</v>
      </c>
      <c r="D114">
        <v>13</v>
      </c>
      <c r="E114" t="s">
        <v>7</v>
      </c>
      <c r="F114" t="s">
        <v>751</v>
      </c>
      <c r="H114">
        <v>1</v>
      </c>
    </row>
    <row r="115" spans="1:8" x14ac:dyDescent="0.45">
      <c r="A115">
        <v>2</v>
      </c>
      <c r="B115" t="s">
        <v>781</v>
      </c>
      <c r="C115">
        <v>1601</v>
      </c>
      <c r="D115">
        <v>14</v>
      </c>
      <c r="E115" t="s">
        <v>7</v>
      </c>
      <c r="F115" t="s">
        <v>751</v>
      </c>
      <c r="H115">
        <v>1</v>
      </c>
    </row>
    <row r="116" spans="1:8" x14ac:dyDescent="0.45">
      <c r="A116">
        <v>2</v>
      </c>
      <c r="B116" t="s">
        <v>781</v>
      </c>
      <c r="C116">
        <v>1201</v>
      </c>
      <c r="D116">
        <v>1</v>
      </c>
      <c r="E116" t="s">
        <v>5</v>
      </c>
      <c r="F116" t="s">
        <v>51</v>
      </c>
      <c r="H116">
        <v>1</v>
      </c>
    </row>
    <row r="117" spans="1:8" x14ac:dyDescent="0.45">
      <c r="A117">
        <v>2</v>
      </c>
      <c r="B117" t="s">
        <v>781</v>
      </c>
      <c r="C117">
        <v>1201</v>
      </c>
      <c r="D117">
        <v>2</v>
      </c>
      <c r="E117" t="s">
        <v>5</v>
      </c>
      <c r="F117" t="s">
        <v>49</v>
      </c>
      <c r="H117">
        <v>1</v>
      </c>
    </row>
    <row r="118" spans="1:8" x14ac:dyDescent="0.45">
      <c r="A118">
        <v>2</v>
      </c>
      <c r="B118" t="s">
        <v>781</v>
      </c>
      <c r="C118">
        <v>1201</v>
      </c>
      <c r="D118">
        <v>3</v>
      </c>
      <c r="E118" t="s">
        <v>5</v>
      </c>
      <c r="F118" t="s">
        <v>737</v>
      </c>
      <c r="H118">
        <v>1</v>
      </c>
    </row>
    <row r="119" spans="1:8" x14ac:dyDescent="0.45">
      <c r="A119">
        <v>2</v>
      </c>
      <c r="B119" t="s">
        <v>781</v>
      </c>
      <c r="C119">
        <v>1201</v>
      </c>
      <c r="D119">
        <v>4</v>
      </c>
      <c r="E119" t="s">
        <v>5</v>
      </c>
      <c r="F119" t="s">
        <v>92</v>
      </c>
      <c r="H119">
        <v>1</v>
      </c>
    </row>
    <row r="120" spans="1:8" x14ac:dyDescent="0.45">
      <c r="A120">
        <v>2</v>
      </c>
      <c r="B120" t="s">
        <v>781</v>
      </c>
      <c r="C120">
        <v>1201</v>
      </c>
      <c r="D120">
        <v>5</v>
      </c>
      <c r="E120" t="s">
        <v>5</v>
      </c>
      <c r="F120" t="s">
        <v>134</v>
      </c>
      <c r="H120">
        <v>1</v>
      </c>
    </row>
    <row r="121" spans="1:8" x14ac:dyDescent="0.45">
      <c r="A121">
        <v>2</v>
      </c>
      <c r="B121" t="s">
        <v>781</v>
      </c>
      <c r="C121">
        <v>1201</v>
      </c>
      <c r="D121">
        <v>6</v>
      </c>
      <c r="E121" t="s">
        <v>5</v>
      </c>
      <c r="F121" t="s">
        <v>624</v>
      </c>
      <c r="H121">
        <v>1</v>
      </c>
    </row>
    <row r="122" spans="1:8" x14ac:dyDescent="0.45">
      <c r="A122">
        <v>2</v>
      </c>
      <c r="B122" t="s">
        <v>781</v>
      </c>
      <c r="C122">
        <v>1201</v>
      </c>
      <c r="D122">
        <v>7</v>
      </c>
      <c r="E122" t="s">
        <v>5</v>
      </c>
      <c r="F122" t="s">
        <v>300</v>
      </c>
      <c r="H122">
        <v>1</v>
      </c>
    </row>
    <row r="123" spans="1:8" x14ac:dyDescent="0.45">
      <c r="A123">
        <v>2</v>
      </c>
      <c r="B123" t="s">
        <v>781</v>
      </c>
      <c r="C123">
        <v>1201</v>
      </c>
      <c r="D123">
        <v>8</v>
      </c>
      <c r="E123" t="s">
        <v>7</v>
      </c>
      <c r="F123" t="s">
        <v>381</v>
      </c>
      <c r="H123">
        <v>1</v>
      </c>
    </row>
    <row r="124" spans="1:8" x14ac:dyDescent="0.45">
      <c r="A124">
        <v>2</v>
      </c>
      <c r="B124" t="s">
        <v>781</v>
      </c>
      <c r="C124">
        <v>1201</v>
      </c>
      <c r="D124">
        <v>9</v>
      </c>
      <c r="E124" t="s">
        <v>5</v>
      </c>
      <c r="F124" t="s">
        <v>412</v>
      </c>
      <c r="H124">
        <v>1</v>
      </c>
    </row>
    <row r="125" spans="1:8" x14ac:dyDescent="0.45">
      <c r="A125">
        <v>2</v>
      </c>
      <c r="B125" t="s">
        <v>781</v>
      </c>
      <c r="C125">
        <v>1201</v>
      </c>
      <c r="D125">
        <v>10</v>
      </c>
      <c r="E125" t="s">
        <v>5</v>
      </c>
      <c r="F125" t="s">
        <v>300</v>
      </c>
      <c r="H125">
        <v>1</v>
      </c>
    </row>
    <row r="126" spans="1:8" x14ac:dyDescent="0.45">
      <c r="A126">
        <v>2</v>
      </c>
      <c r="B126" t="s">
        <v>781</v>
      </c>
      <c r="C126">
        <v>801</v>
      </c>
      <c r="D126">
        <v>1</v>
      </c>
      <c r="E126" t="s">
        <v>5</v>
      </c>
      <c r="F126" t="s">
        <v>173</v>
      </c>
      <c r="H126">
        <v>1</v>
      </c>
    </row>
    <row r="127" spans="1:8" x14ac:dyDescent="0.45">
      <c r="A127">
        <v>2</v>
      </c>
      <c r="B127" t="s">
        <v>781</v>
      </c>
      <c r="C127">
        <v>801</v>
      </c>
      <c r="D127">
        <v>2</v>
      </c>
      <c r="E127" t="s">
        <v>5</v>
      </c>
      <c r="F127" t="s">
        <v>787</v>
      </c>
      <c r="H127">
        <v>1</v>
      </c>
    </row>
    <row r="128" spans="1:8" x14ac:dyDescent="0.45">
      <c r="A128">
        <v>2</v>
      </c>
      <c r="B128" t="s">
        <v>781</v>
      </c>
      <c r="C128">
        <v>801</v>
      </c>
      <c r="D128">
        <v>3</v>
      </c>
      <c r="E128" t="s">
        <v>5</v>
      </c>
      <c r="F128" t="s">
        <v>786</v>
      </c>
      <c r="G128" t="s">
        <v>171</v>
      </c>
      <c r="H128">
        <v>1</v>
      </c>
    </row>
    <row r="129" spans="1:8" x14ac:dyDescent="0.45">
      <c r="A129">
        <v>2</v>
      </c>
      <c r="B129" t="s">
        <v>781</v>
      </c>
      <c r="C129">
        <v>801</v>
      </c>
      <c r="D129">
        <v>4</v>
      </c>
      <c r="E129" t="s">
        <v>5</v>
      </c>
      <c r="F129" t="s">
        <v>168</v>
      </c>
      <c r="H129">
        <v>1</v>
      </c>
    </row>
    <row r="130" spans="1:8" x14ac:dyDescent="0.45">
      <c r="A130">
        <v>2</v>
      </c>
      <c r="B130" t="s">
        <v>781</v>
      </c>
      <c r="C130">
        <v>801</v>
      </c>
      <c r="D130">
        <v>5</v>
      </c>
      <c r="E130" t="s">
        <v>5</v>
      </c>
      <c r="F130" t="s">
        <v>785</v>
      </c>
      <c r="H130">
        <v>1</v>
      </c>
    </row>
    <row r="131" spans="1:8" x14ac:dyDescent="0.45">
      <c r="A131">
        <v>2</v>
      </c>
      <c r="B131" t="s">
        <v>781</v>
      </c>
      <c r="C131">
        <v>801</v>
      </c>
      <c r="D131">
        <v>6</v>
      </c>
      <c r="E131" t="s">
        <v>5</v>
      </c>
      <c r="F131" t="s">
        <v>359</v>
      </c>
      <c r="H131">
        <v>1</v>
      </c>
    </row>
    <row r="132" spans="1:8" x14ac:dyDescent="0.45">
      <c r="A132">
        <v>2</v>
      </c>
      <c r="B132" t="s">
        <v>781</v>
      </c>
      <c r="C132">
        <v>801</v>
      </c>
      <c r="D132">
        <v>7</v>
      </c>
      <c r="E132" t="s">
        <v>5</v>
      </c>
      <c r="F132" t="s">
        <v>128</v>
      </c>
      <c r="H132">
        <v>1</v>
      </c>
    </row>
    <row r="133" spans="1:8" x14ac:dyDescent="0.45">
      <c r="A133">
        <v>2</v>
      </c>
      <c r="B133" t="s">
        <v>781</v>
      </c>
      <c r="C133">
        <v>801</v>
      </c>
      <c r="D133">
        <v>8</v>
      </c>
      <c r="E133" t="s">
        <v>7</v>
      </c>
      <c r="F133" t="s">
        <v>10</v>
      </c>
      <c r="H133">
        <v>1</v>
      </c>
    </row>
    <row r="134" spans="1:8" x14ac:dyDescent="0.45">
      <c r="A134">
        <v>2</v>
      </c>
      <c r="B134" t="s">
        <v>781</v>
      </c>
      <c r="C134">
        <v>801</v>
      </c>
      <c r="D134">
        <v>9</v>
      </c>
      <c r="E134" t="s">
        <v>7</v>
      </c>
      <c r="F134" t="s">
        <v>10</v>
      </c>
      <c r="H134">
        <v>1</v>
      </c>
    </row>
    <row r="135" spans="1:8" x14ac:dyDescent="0.45">
      <c r="A135">
        <v>2</v>
      </c>
      <c r="B135" t="s">
        <v>781</v>
      </c>
      <c r="C135">
        <v>401</v>
      </c>
      <c r="D135">
        <v>1</v>
      </c>
      <c r="E135" t="s">
        <v>5</v>
      </c>
      <c r="F135" t="s">
        <v>243</v>
      </c>
      <c r="H135">
        <v>1</v>
      </c>
    </row>
    <row r="136" spans="1:8" x14ac:dyDescent="0.45">
      <c r="A136">
        <v>2</v>
      </c>
      <c r="B136" t="s">
        <v>781</v>
      </c>
      <c r="C136">
        <v>401</v>
      </c>
      <c r="D136">
        <v>2</v>
      </c>
      <c r="E136" t="s">
        <v>7</v>
      </c>
      <c r="F136" t="s">
        <v>9</v>
      </c>
      <c r="H136">
        <v>1</v>
      </c>
    </row>
    <row r="137" spans="1:8" x14ac:dyDescent="0.45">
      <c r="A137">
        <v>2</v>
      </c>
      <c r="B137" t="s">
        <v>781</v>
      </c>
      <c r="C137">
        <v>401</v>
      </c>
      <c r="D137">
        <v>3</v>
      </c>
      <c r="E137" t="s">
        <v>5</v>
      </c>
      <c r="F137" t="s">
        <v>790</v>
      </c>
      <c r="H137">
        <v>1</v>
      </c>
    </row>
    <row r="138" spans="1:8" x14ac:dyDescent="0.45">
      <c r="A138">
        <v>2</v>
      </c>
      <c r="B138" t="s">
        <v>781</v>
      </c>
      <c r="C138">
        <v>401</v>
      </c>
      <c r="D138">
        <v>4</v>
      </c>
      <c r="E138" t="s">
        <v>5</v>
      </c>
      <c r="F138" t="s">
        <v>789</v>
      </c>
      <c r="H138">
        <v>1</v>
      </c>
    </row>
    <row r="139" spans="1:8" x14ac:dyDescent="0.45">
      <c r="A139">
        <v>2</v>
      </c>
      <c r="B139" t="s">
        <v>781</v>
      </c>
      <c r="C139">
        <v>401</v>
      </c>
      <c r="D139">
        <v>5</v>
      </c>
      <c r="E139" t="s">
        <v>7</v>
      </c>
      <c r="F139" t="s">
        <v>9</v>
      </c>
      <c r="H139">
        <v>1</v>
      </c>
    </row>
    <row r="140" spans="1:8" x14ac:dyDescent="0.45">
      <c r="A140">
        <v>2</v>
      </c>
      <c r="B140" t="s">
        <v>781</v>
      </c>
      <c r="C140">
        <v>401</v>
      </c>
      <c r="D140">
        <v>6</v>
      </c>
      <c r="E140" t="s">
        <v>7</v>
      </c>
      <c r="F140" t="s">
        <v>10</v>
      </c>
      <c r="H140">
        <v>1</v>
      </c>
    </row>
    <row r="141" spans="1:8" x14ac:dyDescent="0.45">
      <c r="A141">
        <v>2</v>
      </c>
      <c r="B141" t="s">
        <v>781</v>
      </c>
      <c r="C141">
        <v>401</v>
      </c>
      <c r="D141">
        <v>7</v>
      </c>
      <c r="E141" t="s">
        <v>5</v>
      </c>
      <c r="F141" t="s">
        <v>788</v>
      </c>
      <c r="H141">
        <v>1</v>
      </c>
    </row>
    <row r="142" spans="1:8" x14ac:dyDescent="0.45">
      <c r="A142">
        <v>2</v>
      </c>
      <c r="B142" t="s">
        <v>781</v>
      </c>
      <c r="C142">
        <v>401</v>
      </c>
      <c r="D142">
        <v>8</v>
      </c>
      <c r="E142" t="s">
        <v>5</v>
      </c>
      <c r="F142" t="s">
        <v>791</v>
      </c>
      <c r="H142">
        <v>1</v>
      </c>
    </row>
    <row r="143" spans="1:8" x14ac:dyDescent="0.45">
      <c r="A143">
        <v>2</v>
      </c>
      <c r="D143">
        <v>1</v>
      </c>
      <c r="H143">
        <v>1</v>
      </c>
    </row>
    <row r="144" spans="1:8" x14ac:dyDescent="0.45">
      <c r="A144">
        <v>2</v>
      </c>
      <c r="D144">
        <v>2</v>
      </c>
      <c r="H144">
        <v>1</v>
      </c>
    </row>
    <row r="145" spans="1:8" x14ac:dyDescent="0.45">
      <c r="A145">
        <v>2</v>
      </c>
      <c r="H145">
        <v>1</v>
      </c>
    </row>
    <row r="146" spans="1:8" x14ac:dyDescent="0.45">
      <c r="A146">
        <v>2</v>
      </c>
      <c r="H146">
        <v>1</v>
      </c>
    </row>
    <row r="147" spans="1:8" x14ac:dyDescent="0.45">
      <c r="A147">
        <v>2</v>
      </c>
      <c r="H147">
        <v>1</v>
      </c>
    </row>
    <row r="148" spans="1:8" x14ac:dyDescent="0.45">
      <c r="A148">
        <v>2</v>
      </c>
      <c r="H148">
        <v>1</v>
      </c>
    </row>
    <row r="149" spans="1:8" x14ac:dyDescent="0.45">
      <c r="A149">
        <v>2</v>
      </c>
      <c r="H149">
        <v>1</v>
      </c>
    </row>
    <row r="150" spans="1:8" x14ac:dyDescent="0.45">
      <c r="A150">
        <v>2</v>
      </c>
      <c r="H150">
        <v>1</v>
      </c>
    </row>
    <row r="151" spans="1:8" x14ac:dyDescent="0.45">
      <c r="A151">
        <v>2</v>
      </c>
      <c r="H151">
        <v>1</v>
      </c>
    </row>
    <row r="152" spans="1:8" x14ac:dyDescent="0.45">
      <c r="A152">
        <v>2</v>
      </c>
      <c r="H152">
        <v>1</v>
      </c>
    </row>
    <row r="153" spans="1:8" x14ac:dyDescent="0.45">
      <c r="A153">
        <v>2</v>
      </c>
      <c r="H153">
        <v>1</v>
      </c>
    </row>
    <row r="154" spans="1:8" x14ac:dyDescent="0.45">
      <c r="A154">
        <v>2</v>
      </c>
      <c r="H154">
        <v>1</v>
      </c>
    </row>
    <row r="155" spans="1:8" x14ac:dyDescent="0.45">
      <c r="A155">
        <v>2</v>
      </c>
      <c r="H155">
        <v>1</v>
      </c>
    </row>
    <row r="156" spans="1:8" x14ac:dyDescent="0.45">
      <c r="A156">
        <v>2</v>
      </c>
      <c r="H156">
        <v>1</v>
      </c>
    </row>
    <row r="157" spans="1:8" x14ac:dyDescent="0.45">
      <c r="A157">
        <v>2</v>
      </c>
      <c r="H157">
        <v>1</v>
      </c>
    </row>
    <row r="158" spans="1:8" x14ac:dyDescent="0.45">
      <c r="A158">
        <v>2</v>
      </c>
      <c r="H158">
        <v>1</v>
      </c>
    </row>
    <row r="159" spans="1:8" x14ac:dyDescent="0.45">
      <c r="A159">
        <v>2</v>
      </c>
      <c r="H159">
        <v>1</v>
      </c>
    </row>
    <row r="160" spans="1:8" x14ac:dyDescent="0.45">
      <c r="A160">
        <v>2</v>
      </c>
      <c r="H160">
        <v>1</v>
      </c>
    </row>
    <row r="161" spans="1:8" x14ac:dyDescent="0.45">
      <c r="A161">
        <v>2</v>
      </c>
      <c r="H161">
        <v>1</v>
      </c>
    </row>
    <row r="162" spans="1:8" x14ac:dyDescent="0.45">
      <c r="A162">
        <v>2</v>
      </c>
      <c r="H162">
        <v>1</v>
      </c>
    </row>
    <row r="163" spans="1:8" x14ac:dyDescent="0.45">
      <c r="A163">
        <v>2</v>
      </c>
      <c r="H163">
        <v>1</v>
      </c>
    </row>
    <row r="164" spans="1:8" x14ac:dyDescent="0.45">
      <c r="A164">
        <v>2</v>
      </c>
      <c r="H164">
        <v>1</v>
      </c>
    </row>
    <row r="165" spans="1:8" x14ac:dyDescent="0.45">
      <c r="A165">
        <v>2</v>
      </c>
      <c r="H165">
        <v>1</v>
      </c>
    </row>
    <row r="166" spans="1:8" x14ac:dyDescent="0.45">
      <c r="A166">
        <v>2</v>
      </c>
      <c r="H166">
        <v>1</v>
      </c>
    </row>
    <row r="167" spans="1:8" x14ac:dyDescent="0.45">
      <c r="A167">
        <v>2</v>
      </c>
      <c r="H167">
        <v>1</v>
      </c>
    </row>
    <row r="168" spans="1:8" x14ac:dyDescent="0.45">
      <c r="A168">
        <v>2</v>
      </c>
      <c r="H168">
        <v>1</v>
      </c>
    </row>
    <row r="169" spans="1:8" x14ac:dyDescent="0.45">
      <c r="A169">
        <v>2</v>
      </c>
      <c r="H169">
        <v>1</v>
      </c>
    </row>
    <row r="170" spans="1:8" x14ac:dyDescent="0.45">
      <c r="A170">
        <v>2</v>
      </c>
      <c r="H170">
        <v>1</v>
      </c>
    </row>
    <row r="171" spans="1:8" x14ac:dyDescent="0.45">
      <c r="A171">
        <v>2</v>
      </c>
      <c r="H171">
        <v>1</v>
      </c>
    </row>
    <row r="172" spans="1:8" x14ac:dyDescent="0.45">
      <c r="A172">
        <v>2</v>
      </c>
      <c r="H172">
        <v>1</v>
      </c>
    </row>
    <row r="173" spans="1:8" x14ac:dyDescent="0.45">
      <c r="A173">
        <v>2</v>
      </c>
      <c r="H173">
        <v>1</v>
      </c>
    </row>
    <row r="174" spans="1:8" x14ac:dyDescent="0.45">
      <c r="A174">
        <v>2</v>
      </c>
      <c r="H174">
        <v>1</v>
      </c>
    </row>
    <row r="175" spans="1:8" x14ac:dyDescent="0.45">
      <c r="A175">
        <v>2</v>
      </c>
      <c r="H175">
        <v>1</v>
      </c>
    </row>
    <row r="176" spans="1:8" x14ac:dyDescent="0.45">
      <c r="A176">
        <v>2</v>
      </c>
      <c r="H176">
        <v>1</v>
      </c>
    </row>
    <row r="177" spans="1:8" x14ac:dyDescent="0.45">
      <c r="A177">
        <v>2</v>
      </c>
      <c r="H177">
        <v>1</v>
      </c>
    </row>
    <row r="178" spans="1:8" x14ac:dyDescent="0.45">
      <c r="A178">
        <v>2</v>
      </c>
      <c r="H178">
        <v>1</v>
      </c>
    </row>
    <row r="179" spans="1:8" x14ac:dyDescent="0.45">
      <c r="A179">
        <v>2</v>
      </c>
      <c r="H179">
        <v>1</v>
      </c>
    </row>
    <row r="180" spans="1:8" x14ac:dyDescent="0.45">
      <c r="A180">
        <v>2</v>
      </c>
      <c r="H180">
        <v>1</v>
      </c>
    </row>
    <row r="181" spans="1:8" x14ac:dyDescent="0.45">
      <c r="A181">
        <v>2</v>
      </c>
      <c r="H181">
        <v>1</v>
      </c>
    </row>
    <row r="182" spans="1:8" x14ac:dyDescent="0.45">
      <c r="A182">
        <v>2</v>
      </c>
      <c r="H182">
        <v>1</v>
      </c>
    </row>
    <row r="183" spans="1:8" x14ac:dyDescent="0.45">
      <c r="A183">
        <v>2</v>
      </c>
      <c r="H183">
        <v>1</v>
      </c>
    </row>
    <row r="184" spans="1:8" x14ac:dyDescent="0.45">
      <c r="A184">
        <v>2</v>
      </c>
      <c r="H184">
        <v>1</v>
      </c>
    </row>
    <row r="185" spans="1:8" x14ac:dyDescent="0.45">
      <c r="A185">
        <v>2</v>
      </c>
      <c r="H185">
        <v>1</v>
      </c>
    </row>
    <row r="186" spans="1:8" x14ac:dyDescent="0.45">
      <c r="A186">
        <v>2</v>
      </c>
      <c r="H186">
        <v>1</v>
      </c>
    </row>
    <row r="187" spans="1:8" x14ac:dyDescent="0.45">
      <c r="A187">
        <v>2</v>
      </c>
      <c r="H187">
        <v>1</v>
      </c>
    </row>
    <row r="188" spans="1:8" x14ac:dyDescent="0.45">
      <c r="A188">
        <v>2</v>
      </c>
      <c r="H188">
        <v>1</v>
      </c>
    </row>
    <row r="189" spans="1:8" x14ac:dyDescent="0.45">
      <c r="A189">
        <v>2</v>
      </c>
      <c r="H189">
        <v>1</v>
      </c>
    </row>
    <row r="190" spans="1:8" x14ac:dyDescent="0.45">
      <c r="A190">
        <v>2</v>
      </c>
      <c r="H190">
        <v>1</v>
      </c>
    </row>
    <row r="191" spans="1:8" x14ac:dyDescent="0.45">
      <c r="A191">
        <v>2</v>
      </c>
      <c r="H191">
        <v>1</v>
      </c>
    </row>
    <row r="192" spans="1:8" x14ac:dyDescent="0.45">
      <c r="A192">
        <v>2</v>
      </c>
      <c r="H192">
        <v>1</v>
      </c>
    </row>
    <row r="193" spans="1:8" x14ac:dyDescent="0.45">
      <c r="A193">
        <v>2</v>
      </c>
      <c r="H193">
        <v>1</v>
      </c>
    </row>
    <row r="194" spans="1:8" x14ac:dyDescent="0.45">
      <c r="A194">
        <v>2</v>
      </c>
      <c r="H194">
        <v>1</v>
      </c>
    </row>
    <row r="195" spans="1:8" x14ac:dyDescent="0.45">
      <c r="A195">
        <v>2</v>
      </c>
      <c r="H195">
        <v>1</v>
      </c>
    </row>
    <row r="196" spans="1:8" x14ac:dyDescent="0.45">
      <c r="A196">
        <v>2</v>
      </c>
      <c r="H196">
        <v>1</v>
      </c>
    </row>
    <row r="197" spans="1:8" x14ac:dyDescent="0.45">
      <c r="A197">
        <v>2</v>
      </c>
      <c r="H197">
        <v>1</v>
      </c>
    </row>
    <row r="198" spans="1:8" x14ac:dyDescent="0.45">
      <c r="A198">
        <v>2</v>
      </c>
      <c r="H198">
        <v>1</v>
      </c>
    </row>
    <row r="199" spans="1:8" x14ac:dyDescent="0.45">
      <c r="A199">
        <v>2</v>
      </c>
      <c r="H199">
        <v>1</v>
      </c>
    </row>
    <row r="200" spans="1:8" x14ac:dyDescent="0.45">
      <c r="A200">
        <v>2</v>
      </c>
      <c r="H200">
        <v>1</v>
      </c>
    </row>
    <row r="201" spans="1:8" x14ac:dyDescent="0.45">
      <c r="A201">
        <v>2</v>
      </c>
      <c r="H201">
        <v>1</v>
      </c>
    </row>
    <row r="202" spans="1:8" x14ac:dyDescent="0.45">
      <c r="A202">
        <v>2</v>
      </c>
      <c r="H202">
        <v>1</v>
      </c>
    </row>
    <row r="203" spans="1:8" x14ac:dyDescent="0.45">
      <c r="A203">
        <v>2</v>
      </c>
      <c r="H203">
        <v>1</v>
      </c>
    </row>
    <row r="204" spans="1:8" x14ac:dyDescent="0.45">
      <c r="A204">
        <v>2</v>
      </c>
      <c r="H204">
        <v>1</v>
      </c>
    </row>
    <row r="205" spans="1:8" x14ac:dyDescent="0.45">
      <c r="A205">
        <v>2</v>
      </c>
      <c r="H205">
        <v>1</v>
      </c>
    </row>
    <row r="206" spans="1:8" x14ac:dyDescent="0.45">
      <c r="A206">
        <v>2</v>
      </c>
      <c r="H206">
        <v>1</v>
      </c>
    </row>
    <row r="207" spans="1:8" x14ac:dyDescent="0.45">
      <c r="A207">
        <v>2</v>
      </c>
      <c r="H207">
        <v>1</v>
      </c>
    </row>
    <row r="208" spans="1:8" x14ac:dyDescent="0.45">
      <c r="A208">
        <v>2</v>
      </c>
      <c r="H208">
        <v>1</v>
      </c>
    </row>
    <row r="209" spans="1:8" x14ac:dyDescent="0.45">
      <c r="A209">
        <v>2</v>
      </c>
      <c r="H209">
        <v>1</v>
      </c>
    </row>
    <row r="210" spans="1:8" x14ac:dyDescent="0.45">
      <c r="A210">
        <v>2</v>
      </c>
      <c r="H210">
        <v>1</v>
      </c>
    </row>
    <row r="211" spans="1:8" x14ac:dyDescent="0.45">
      <c r="A211">
        <v>2</v>
      </c>
      <c r="H211">
        <v>1</v>
      </c>
    </row>
    <row r="212" spans="1:8" x14ac:dyDescent="0.45">
      <c r="A212">
        <v>2</v>
      </c>
      <c r="H21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2313-9D10-4590-A23E-1145D4C80417}">
  <dimension ref="A1:M175"/>
  <sheetViews>
    <sheetView workbookViewId="0">
      <pane ySplit="3" topLeftCell="A120" activePane="bottomLeft" state="frozen"/>
      <selection pane="bottomLeft" activeCell="C139" sqref="C13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1.9</v>
      </c>
      <c r="B2" t="s">
        <v>104</v>
      </c>
      <c r="C2">
        <v>1</v>
      </c>
      <c r="D2">
        <v>1</v>
      </c>
      <c r="E2" t="s">
        <v>5</v>
      </c>
      <c r="F2" t="s">
        <v>105</v>
      </c>
      <c r="H2">
        <v>1</v>
      </c>
      <c r="I2" t="s">
        <v>5</v>
      </c>
      <c r="J2">
        <f>COUNTIFS(E:E,"*F*",H:H,1)</f>
        <v>104</v>
      </c>
      <c r="K2">
        <f>J2+J3</f>
        <v>105</v>
      </c>
      <c r="L2">
        <f>J2/K2</f>
        <v>0.99047619047619051</v>
      </c>
      <c r="M2">
        <f>SQRT(L2*L3/K2)</f>
        <v>9.4783495529165585E-3</v>
      </c>
    </row>
    <row r="3" spans="1:13" x14ac:dyDescent="0.45">
      <c r="A3">
        <v>1.9</v>
      </c>
      <c r="B3" t="s">
        <v>104</v>
      </c>
      <c r="C3">
        <v>1</v>
      </c>
      <c r="D3">
        <v>2</v>
      </c>
      <c r="E3" t="s">
        <v>7</v>
      </c>
      <c r="F3" t="s">
        <v>9</v>
      </c>
      <c r="H3">
        <v>1</v>
      </c>
      <c r="I3" t="s">
        <v>18</v>
      </c>
      <c r="J3">
        <f>COUNTIFS(E:E,"*B*",H:H,1)</f>
        <v>1</v>
      </c>
      <c r="L3">
        <f>J3/K2</f>
        <v>9.5238095238095247E-3</v>
      </c>
    </row>
    <row r="4" spans="1:13" x14ac:dyDescent="0.45">
      <c r="A4">
        <v>1.9</v>
      </c>
      <c r="B4" t="s">
        <v>104</v>
      </c>
      <c r="C4">
        <v>1</v>
      </c>
      <c r="D4">
        <v>3</v>
      </c>
      <c r="E4" t="s">
        <v>5</v>
      </c>
      <c r="F4" t="s">
        <v>106</v>
      </c>
      <c r="H4">
        <v>1</v>
      </c>
      <c r="I4" t="s">
        <v>7</v>
      </c>
      <c r="J4">
        <f>COUNTIFS(E:E,"*U*",H:H,1)</f>
        <v>31</v>
      </c>
    </row>
    <row r="5" spans="1:13" x14ac:dyDescent="0.45">
      <c r="A5">
        <v>1.9</v>
      </c>
      <c r="B5" t="s">
        <v>104</v>
      </c>
      <c r="C5">
        <v>1</v>
      </c>
      <c r="D5">
        <v>4</v>
      </c>
      <c r="E5" t="s">
        <v>5</v>
      </c>
      <c r="F5" t="s">
        <v>107</v>
      </c>
      <c r="H5">
        <v>1</v>
      </c>
    </row>
    <row r="6" spans="1:13" x14ac:dyDescent="0.45">
      <c r="A6">
        <v>1.9</v>
      </c>
      <c r="B6" t="s">
        <v>104</v>
      </c>
      <c r="C6">
        <v>1</v>
      </c>
      <c r="D6">
        <v>5</v>
      </c>
      <c r="E6" t="s">
        <v>5</v>
      </c>
      <c r="F6" t="s">
        <v>108</v>
      </c>
      <c r="H6">
        <v>1</v>
      </c>
    </row>
    <row r="7" spans="1:13" x14ac:dyDescent="0.45">
      <c r="A7">
        <v>1.9</v>
      </c>
      <c r="B7" t="s">
        <v>104</v>
      </c>
      <c r="C7">
        <v>1</v>
      </c>
      <c r="D7">
        <v>6</v>
      </c>
      <c r="E7" t="s">
        <v>5</v>
      </c>
      <c r="F7" t="s">
        <v>109</v>
      </c>
      <c r="H7">
        <v>1</v>
      </c>
    </row>
    <row r="8" spans="1:13" x14ac:dyDescent="0.45">
      <c r="A8">
        <v>1.9</v>
      </c>
      <c r="B8" t="s">
        <v>104</v>
      </c>
      <c r="C8">
        <v>1</v>
      </c>
      <c r="D8">
        <v>7</v>
      </c>
      <c r="E8" t="s">
        <v>5</v>
      </c>
      <c r="F8" t="s">
        <v>110</v>
      </c>
      <c r="H8">
        <v>1</v>
      </c>
    </row>
    <row r="9" spans="1:13" x14ac:dyDescent="0.45">
      <c r="A9">
        <v>1.9</v>
      </c>
      <c r="B9" t="s">
        <v>104</v>
      </c>
      <c r="C9">
        <v>1</v>
      </c>
      <c r="D9">
        <v>8</v>
      </c>
      <c r="E9" t="s">
        <v>7</v>
      </c>
      <c r="F9" t="s">
        <v>9</v>
      </c>
      <c r="H9">
        <v>1</v>
      </c>
    </row>
    <row r="10" spans="1:13" x14ac:dyDescent="0.45">
      <c r="A10">
        <v>1.9</v>
      </c>
      <c r="B10" t="s">
        <v>104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1.9</v>
      </c>
      <c r="B11" t="s">
        <v>104</v>
      </c>
      <c r="C11">
        <v>1</v>
      </c>
      <c r="D11">
        <v>10</v>
      </c>
      <c r="E11" t="s">
        <v>5</v>
      </c>
      <c r="F11" t="s">
        <v>111</v>
      </c>
      <c r="H11">
        <v>1</v>
      </c>
    </row>
    <row r="12" spans="1:13" x14ac:dyDescent="0.45">
      <c r="A12">
        <v>1.9</v>
      </c>
      <c r="B12" t="s">
        <v>104</v>
      </c>
      <c r="C12">
        <v>1</v>
      </c>
      <c r="D12">
        <v>11</v>
      </c>
      <c r="E12" t="s">
        <v>5</v>
      </c>
      <c r="F12" t="s">
        <v>112</v>
      </c>
      <c r="H12">
        <v>1</v>
      </c>
    </row>
    <row r="13" spans="1:13" x14ac:dyDescent="0.45">
      <c r="A13">
        <v>1.9</v>
      </c>
      <c r="B13" t="s">
        <v>104</v>
      </c>
      <c r="C13">
        <v>401</v>
      </c>
      <c r="D13">
        <v>1</v>
      </c>
      <c r="E13" t="s">
        <v>5</v>
      </c>
      <c r="F13" t="s">
        <v>21</v>
      </c>
      <c r="H13">
        <v>1</v>
      </c>
    </row>
    <row r="14" spans="1:13" x14ac:dyDescent="0.45">
      <c r="A14">
        <v>1.9</v>
      </c>
      <c r="B14" t="s">
        <v>104</v>
      </c>
      <c r="C14">
        <v>401</v>
      </c>
      <c r="D14">
        <v>2</v>
      </c>
      <c r="E14" t="s">
        <v>5</v>
      </c>
      <c r="F14" t="s">
        <v>113</v>
      </c>
      <c r="H14">
        <v>1</v>
      </c>
    </row>
    <row r="15" spans="1:13" x14ac:dyDescent="0.45">
      <c r="A15">
        <v>1.9</v>
      </c>
      <c r="B15" t="s">
        <v>104</v>
      </c>
      <c r="C15">
        <v>401</v>
      </c>
      <c r="D15">
        <v>3</v>
      </c>
      <c r="E15" t="s">
        <v>5</v>
      </c>
      <c r="F15" t="s">
        <v>116</v>
      </c>
      <c r="H15">
        <v>1</v>
      </c>
    </row>
    <row r="16" spans="1:13" x14ac:dyDescent="0.45">
      <c r="A16">
        <v>1.9</v>
      </c>
      <c r="B16" t="s">
        <v>104</v>
      </c>
      <c r="C16">
        <v>401</v>
      </c>
      <c r="D16">
        <v>4</v>
      </c>
      <c r="E16" t="s">
        <v>5</v>
      </c>
      <c r="F16" t="s">
        <v>117</v>
      </c>
      <c r="H16">
        <v>1</v>
      </c>
    </row>
    <row r="17" spans="1:8" x14ac:dyDescent="0.45">
      <c r="A17">
        <v>1.9</v>
      </c>
      <c r="B17" t="s">
        <v>104</v>
      </c>
      <c r="C17">
        <v>401</v>
      </c>
      <c r="D17">
        <v>5</v>
      </c>
      <c r="E17" t="s">
        <v>5</v>
      </c>
      <c r="F17" t="s">
        <v>118</v>
      </c>
      <c r="H17">
        <v>1</v>
      </c>
    </row>
    <row r="18" spans="1:8" x14ac:dyDescent="0.45">
      <c r="A18">
        <v>1.9</v>
      </c>
      <c r="B18" t="s">
        <v>104</v>
      </c>
      <c r="C18">
        <v>401</v>
      </c>
      <c r="D18">
        <v>6</v>
      </c>
      <c r="E18" t="s">
        <v>5</v>
      </c>
      <c r="F18" t="s">
        <v>119</v>
      </c>
      <c r="H18">
        <v>1</v>
      </c>
    </row>
    <row r="19" spans="1:8" x14ac:dyDescent="0.45">
      <c r="A19">
        <v>1.9</v>
      </c>
      <c r="B19" t="s">
        <v>104</v>
      </c>
      <c r="C19">
        <v>401</v>
      </c>
      <c r="D19">
        <v>7</v>
      </c>
      <c r="E19" t="s">
        <v>5</v>
      </c>
      <c r="F19" t="s">
        <v>120</v>
      </c>
      <c r="H19">
        <v>1</v>
      </c>
    </row>
    <row r="20" spans="1:8" x14ac:dyDescent="0.45">
      <c r="A20">
        <v>1.9</v>
      </c>
      <c r="B20" t="s">
        <v>104</v>
      </c>
      <c r="C20">
        <v>401</v>
      </c>
      <c r="D20">
        <v>8</v>
      </c>
      <c r="E20" t="s">
        <v>5</v>
      </c>
      <c r="F20" t="s">
        <v>121</v>
      </c>
      <c r="H20">
        <v>1</v>
      </c>
    </row>
    <row r="21" spans="1:8" x14ac:dyDescent="0.45">
      <c r="A21">
        <v>1.9</v>
      </c>
      <c r="B21" t="s">
        <v>104</v>
      </c>
      <c r="C21">
        <v>401</v>
      </c>
      <c r="D21">
        <v>9</v>
      </c>
      <c r="E21" t="s">
        <v>7</v>
      </c>
      <c r="F21" t="s">
        <v>10</v>
      </c>
      <c r="H21">
        <v>1</v>
      </c>
    </row>
    <row r="22" spans="1:8" x14ac:dyDescent="0.45">
      <c r="A22">
        <v>1.9</v>
      </c>
      <c r="B22" t="s">
        <v>104</v>
      </c>
      <c r="C22">
        <v>401</v>
      </c>
      <c r="D22">
        <v>10</v>
      </c>
      <c r="E22" t="s">
        <v>5</v>
      </c>
      <c r="F22" t="s">
        <v>122</v>
      </c>
      <c r="H22">
        <v>1</v>
      </c>
    </row>
    <row r="23" spans="1:8" x14ac:dyDescent="0.45">
      <c r="A23">
        <v>1.9</v>
      </c>
      <c r="B23" t="s">
        <v>104</v>
      </c>
      <c r="C23">
        <v>401</v>
      </c>
      <c r="D23">
        <v>11</v>
      </c>
      <c r="E23" t="s">
        <v>5</v>
      </c>
      <c r="F23" t="s">
        <v>123</v>
      </c>
      <c r="H23">
        <v>1</v>
      </c>
    </row>
    <row r="24" spans="1:8" x14ac:dyDescent="0.45">
      <c r="A24">
        <v>1.9</v>
      </c>
      <c r="B24" t="s">
        <v>104</v>
      </c>
      <c r="C24">
        <v>401</v>
      </c>
      <c r="D24">
        <v>12</v>
      </c>
      <c r="E24" t="s">
        <v>5</v>
      </c>
      <c r="F24" t="s">
        <v>124</v>
      </c>
      <c r="H24">
        <v>1</v>
      </c>
    </row>
    <row r="25" spans="1:8" x14ac:dyDescent="0.45">
      <c r="A25">
        <v>1.9</v>
      </c>
      <c r="B25" t="s">
        <v>104</v>
      </c>
      <c r="C25">
        <v>401</v>
      </c>
      <c r="D25">
        <v>13</v>
      </c>
      <c r="E25" t="s">
        <v>5</v>
      </c>
      <c r="F25" t="s">
        <v>21</v>
      </c>
      <c r="H25">
        <v>1</v>
      </c>
    </row>
    <row r="26" spans="1:8" x14ac:dyDescent="0.45">
      <c r="A26">
        <v>1.9</v>
      </c>
      <c r="B26" t="s">
        <v>104</v>
      </c>
      <c r="C26">
        <v>401</v>
      </c>
      <c r="D26">
        <v>14</v>
      </c>
      <c r="E26" t="s">
        <v>5</v>
      </c>
      <c r="F26" t="s">
        <v>78</v>
      </c>
      <c r="H26">
        <v>1</v>
      </c>
    </row>
    <row r="27" spans="1:8" x14ac:dyDescent="0.45">
      <c r="A27">
        <v>1.9</v>
      </c>
      <c r="B27" t="s">
        <v>104</v>
      </c>
      <c r="C27">
        <v>401</v>
      </c>
      <c r="D27">
        <v>15</v>
      </c>
      <c r="E27" t="s">
        <v>5</v>
      </c>
      <c r="F27" t="s">
        <v>125</v>
      </c>
      <c r="H27">
        <v>1</v>
      </c>
    </row>
    <row r="28" spans="1:8" x14ac:dyDescent="0.45">
      <c r="A28">
        <v>1.9</v>
      </c>
      <c r="B28" t="s">
        <v>104</v>
      </c>
      <c r="C28">
        <v>401</v>
      </c>
      <c r="D28">
        <v>16</v>
      </c>
      <c r="E28" t="s">
        <v>5</v>
      </c>
      <c r="F28" t="s">
        <v>126</v>
      </c>
      <c r="H28">
        <v>1</v>
      </c>
    </row>
    <row r="29" spans="1:8" x14ac:dyDescent="0.45">
      <c r="A29">
        <v>1.9</v>
      </c>
      <c r="B29" t="s">
        <v>104</v>
      </c>
      <c r="C29">
        <v>801</v>
      </c>
      <c r="D29">
        <v>1</v>
      </c>
      <c r="E29" t="s">
        <v>7</v>
      </c>
      <c r="F29" t="s">
        <v>9</v>
      </c>
      <c r="H29">
        <v>1</v>
      </c>
    </row>
    <row r="30" spans="1:8" x14ac:dyDescent="0.45">
      <c r="A30">
        <v>1.9</v>
      </c>
      <c r="B30" t="s">
        <v>104</v>
      </c>
      <c r="C30">
        <v>801</v>
      </c>
      <c r="D30">
        <v>2</v>
      </c>
      <c r="E30" t="s">
        <v>7</v>
      </c>
      <c r="F30" t="s">
        <v>10</v>
      </c>
      <c r="H30">
        <v>1</v>
      </c>
    </row>
    <row r="31" spans="1:8" x14ac:dyDescent="0.45">
      <c r="A31">
        <v>1.9</v>
      </c>
      <c r="B31" t="s">
        <v>104</v>
      </c>
      <c r="C31">
        <v>801</v>
      </c>
      <c r="D31">
        <v>3</v>
      </c>
      <c r="E31" t="s">
        <v>5</v>
      </c>
      <c r="F31" t="s">
        <v>127</v>
      </c>
      <c r="H31">
        <v>1</v>
      </c>
    </row>
    <row r="32" spans="1:8" x14ac:dyDescent="0.45">
      <c r="A32">
        <v>1.9</v>
      </c>
      <c r="B32" t="s">
        <v>104</v>
      </c>
      <c r="C32">
        <v>801</v>
      </c>
      <c r="D32">
        <v>4</v>
      </c>
      <c r="E32" t="s">
        <v>5</v>
      </c>
      <c r="F32" t="s">
        <v>129</v>
      </c>
      <c r="H32">
        <v>1</v>
      </c>
    </row>
    <row r="33" spans="1:8" x14ac:dyDescent="0.45">
      <c r="A33">
        <v>1.9</v>
      </c>
      <c r="B33" t="s">
        <v>104</v>
      </c>
      <c r="C33">
        <v>801</v>
      </c>
      <c r="D33">
        <v>5</v>
      </c>
      <c r="E33" t="s">
        <v>5</v>
      </c>
      <c r="F33" t="s">
        <v>130</v>
      </c>
      <c r="H33">
        <v>1</v>
      </c>
    </row>
    <row r="34" spans="1:8" x14ac:dyDescent="0.45">
      <c r="A34">
        <v>1.9</v>
      </c>
      <c r="B34" t="s">
        <v>104</v>
      </c>
      <c r="C34">
        <v>801</v>
      </c>
      <c r="D34">
        <v>6</v>
      </c>
      <c r="E34" t="s">
        <v>5</v>
      </c>
      <c r="F34" t="s">
        <v>131</v>
      </c>
      <c r="H34">
        <v>1</v>
      </c>
    </row>
    <row r="35" spans="1:8" x14ac:dyDescent="0.45">
      <c r="A35">
        <v>1.9</v>
      </c>
      <c r="B35" t="s">
        <v>104</v>
      </c>
      <c r="C35">
        <v>1201</v>
      </c>
      <c r="D35">
        <v>1</v>
      </c>
      <c r="E35" t="s">
        <v>7</v>
      </c>
      <c r="F35" t="s">
        <v>9</v>
      </c>
      <c r="H35">
        <v>1</v>
      </c>
    </row>
    <row r="36" spans="1:8" x14ac:dyDescent="0.45">
      <c r="A36">
        <v>1.9</v>
      </c>
      <c r="B36" t="s">
        <v>104</v>
      </c>
      <c r="C36">
        <v>1201</v>
      </c>
      <c r="D36">
        <v>2</v>
      </c>
      <c r="E36" t="s">
        <v>7</v>
      </c>
      <c r="F36" t="s">
        <v>10</v>
      </c>
      <c r="H36">
        <v>1</v>
      </c>
    </row>
    <row r="37" spans="1:8" x14ac:dyDescent="0.45">
      <c r="A37">
        <v>1.9</v>
      </c>
      <c r="B37" t="s">
        <v>104</v>
      </c>
      <c r="C37">
        <v>1201</v>
      </c>
      <c r="D37">
        <v>3</v>
      </c>
      <c r="E37" t="s">
        <v>5</v>
      </c>
      <c r="F37" t="s">
        <v>132</v>
      </c>
      <c r="H37">
        <v>1</v>
      </c>
    </row>
    <row r="38" spans="1:8" x14ac:dyDescent="0.45">
      <c r="A38">
        <v>1.9</v>
      </c>
      <c r="B38" t="s">
        <v>104</v>
      </c>
      <c r="C38">
        <v>1201</v>
      </c>
      <c r="D38">
        <v>4</v>
      </c>
      <c r="E38" t="s">
        <v>5</v>
      </c>
      <c r="F38" t="s">
        <v>133</v>
      </c>
      <c r="H38">
        <v>1</v>
      </c>
    </row>
    <row r="39" spans="1:8" x14ac:dyDescent="0.45">
      <c r="A39">
        <v>1.9</v>
      </c>
      <c r="B39" t="s">
        <v>104</v>
      </c>
      <c r="C39">
        <v>1201</v>
      </c>
      <c r="D39">
        <v>5</v>
      </c>
      <c r="E39" t="s">
        <v>5</v>
      </c>
      <c r="F39" t="s">
        <v>134</v>
      </c>
      <c r="H39">
        <v>1</v>
      </c>
    </row>
    <row r="40" spans="1:8" x14ac:dyDescent="0.45">
      <c r="A40">
        <v>1.9</v>
      </c>
      <c r="B40" t="s">
        <v>104</v>
      </c>
      <c r="C40">
        <v>1201</v>
      </c>
      <c r="D40">
        <v>6</v>
      </c>
      <c r="E40" t="s">
        <v>5</v>
      </c>
      <c r="F40" t="s">
        <v>135</v>
      </c>
      <c r="H40">
        <v>1</v>
      </c>
    </row>
    <row r="41" spans="1:8" x14ac:dyDescent="0.45">
      <c r="A41">
        <v>1.9</v>
      </c>
      <c r="B41" t="s">
        <v>104</v>
      </c>
      <c r="C41">
        <v>1201</v>
      </c>
      <c r="D41">
        <v>7</v>
      </c>
      <c r="E41" t="s">
        <v>5</v>
      </c>
      <c r="F41" t="s">
        <v>136</v>
      </c>
      <c r="H41">
        <v>1</v>
      </c>
    </row>
    <row r="42" spans="1:8" x14ac:dyDescent="0.45">
      <c r="A42">
        <v>1.9</v>
      </c>
      <c r="B42" t="s">
        <v>104</v>
      </c>
      <c r="C42">
        <v>1201</v>
      </c>
      <c r="D42">
        <v>8</v>
      </c>
      <c r="E42" t="s">
        <v>5</v>
      </c>
      <c r="F42" t="s">
        <v>137</v>
      </c>
      <c r="H42">
        <v>1</v>
      </c>
    </row>
    <row r="43" spans="1:8" x14ac:dyDescent="0.45">
      <c r="A43">
        <v>1.9</v>
      </c>
      <c r="B43" t="s">
        <v>104</v>
      </c>
      <c r="C43">
        <v>1601</v>
      </c>
      <c r="D43">
        <v>1</v>
      </c>
      <c r="E43" t="s">
        <v>5</v>
      </c>
      <c r="F43" t="s">
        <v>139</v>
      </c>
      <c r="H43">
        <v>1</v>
      </c>
    </row>
    <row r="44" spans="1:8" x14ac:dyDescent="0.45">
      <c r="A44">
        <v>1.9</v>
      </c>
      <c r="B44" t="s">
        <v>104</v>
      </c>
      <c r="C44">
        <v>1601</v>
      </c>
      <c r="D44">
        <v>2</v>
      </c>
      <c r="E44" t="s">
        <v>5</v>
      </c>
      <c r="F44" t="s">
        <v>140</v>
      </c>
      <c r="H44">
        <v>1</v>
      </c>
    </row>
    <row r="45" spans="1:8" x14ac:dyDescent="0.45">
      <c r="A45">
        <v>1.9</v>
      </c>
      <c r="B45" t="s">
        <v>104</v>
      </c>
      <c r="C45">
        <v>1601</v>
      </c>
      <c r="D45">
        <v>3</v>
      </c>
      <c r="E45" t="s">
        <v>5</v>
      </c>
      <c r="F45" t="s">
        <v>141</v>
      </c>
      <c r="H45">
        <v>1</v>
      </c>
    </row>
    <row r="46" spans="1:8" x14ac:dyDescent="0.45">
      <c r="A46">
        <v>1.9</v>
      </c>
      <c r="B46" t="s">
        <v>104</v>
      </c>
      <c r="C46">
        <v>1601</v>
      </c>
      <c r="D46">
        <v>4</v>
      </c>
      <c r="E46" t="s">
        <v>7</v>
      </c>
      <c r="F46" t="s">
        <v>10</v>
      </c>
      <c r="H46">
        <v>1</v>
      </c>
    </row>
    <row r="47" spans="1:8" x14ac:dyDescent="0.45">
      <c r="A47">
        <v>1.9</v>
      </c>
      <c r="B47" t="s">
        <v>104</v>
      </c>
      <c r="C47">
        <v>1601</v>
      </c>
      <c r="D47">
        <v>5</v>
      </c>
      <c r="E47" t="s">
        <v>5</v>
      </c>
      <c r="F47" t="s">
        <v>142</v>
      </c>
      <c r="H47">
        <v>1</v>
      </c>
    </row>
    <row r="48" spans="1:8" x14ac:dyDescent="0.45">
      <c r="A48">
        <v>1.9</v>
      </c>
      <c r="B48" t="s">
        <v>104</v>
      </c>
      <c r="C48">
        <v>1601</v>
      </c>
      <c r="D48">
        <v>6</v>
      </c>
      <c r="E48" t="s">
        <v>18</v>
      </c>
      <c r="F48" t="s">
        <v>143</v>
      </c>
      <c r="H48">
        <v>1</v>
      </c>
    </row>
    <row r="49" spans="1:8" x14ac:dyDescent="0.45">
      <c r="A49">
        <v>1.9</v>
      </c>
      <c r="B49" t="s">
        <v>104</v>
      </c>
      <c r="C49">
        <v>1601</v>
      </c>
      <c r="D49">
        <v>7</v>
      </c>
      <c r="E49" t="s">
        <v>5</v>
      </c>
      <c r="F49" t="s">
        <v>144</v>
      </c>
      <c r="H49">
        <v>1</v>
      </c>
    </row>
    <row r="50" spans="1:8" x14ac:dyDescent="0.45">
      <c r="A50">
        <v>1.9</v>
      </c>
      <c r="B50" t="s">
        <v>104</v>
      </c>
      <c r="C50">
        <v>1601</v>
      </c>
      <c r="D50">
        <v>8</v>
      </c>
      <c r="E50" t="s">
        <v>5</v>
      </c>
      <c r="F50" t="s">
        <v>145</v>
      </c>
      <c r="H50">
        <v>1</v>
      </c>
    </row>
    <row r="51" spans="1:8" x14ac:dyDescent="0.45">
      <c r="A51">
        <v>1.9</v>
      </c>
      <c r="B51" t="s">
        <v>104</v>
      </c>
      <c r="C51">
        <v>1601</v>
      </c>
      <c r="D51">
        <v>9</v>
      </c>
      <c r="E51" t="s">
        <v>7</v>
      </c>
      <c r="F51" t="s">
        <v>9</v>
      </c>
      <c r="H51">
        <v>1</v>
      </c>
    </row>
    <row r="52" spans="1:8" x14ac:dyDescent="0.45">
      <c r="A52">
        <v>1.9</v>
      </c>
      <c r="B52" t="s">
        <v>104</v>
      </c>
      <c r="C52">
        <v>1601</v>
      </c>
      <c r="D52">
        <v>10</v>
      </c>
      <c r="E52" t="s">
        <v>7</v>
      </c>
      <c r="F52" t="s">
        <v>146</v>
      </c>
      <c r="H52">
        <v>1</v>
      </c>
    </row>
    <row r="53" spans="1:8" x14ac:dyDescent="0.45">
      <c r="A53">
        <v>1.9</v>
      </c>
      <c r="B53" t="s">
        <v>104</v>
      </c>
      <c r="C53">
        <v>1601</v>
      </c>
      <c r="D53">
        <v>11</v>
      </c>
      <c r="E53" t="s">
        <v>5</v>
      </c>
      <c r="F53" t="s">
        <v>147</v>
      </c>
      <c r="H53">
        <v>1</v>
      </c>
    </row>
    <row r="54" spans="1:8" x14ac:dyDescent="0.45">
      <c r="A54">
        <v>1.9</v>
      </c>
      <c r="B54" t="s">
        <v>104</v>
      </c>
      <c r="C54">
        <v>1601</v>
      </c>
      <c r="D54">
        <v>12</v>
      </c>
      <c r="E54" t="s">
        <v>5</v>
      </c>
      <c r="F54" t="s">
        <v>148</v>
      </c>
      <c r="H54">
        <v>1</v>
      </c>
    </row>
    <row r="55" spans="1:8" x14ac:dyDescent="0.45">
      <c r="A55">
        <v>1.9</v>
      </c>
      <c r="B55" t="s">
        <v>104</v>
      </c>
      <c r="C55">
        <v>1601</v>
      </c>
      <c r="D55">
        <v>13</v>
      </c>
      <c r="E55" t="s">
        <v>5</v>
      </c>
      <c r="F55" t="s">
        <v>149</v>
      </c>
      <c r="H55">
        <v>1</v>
      </c>
    </row>
    <row r="56" spans="1:8" x14ac:dyDescent="0.45">
      <c r="A56">
        <v>1.9</v>
      </c>
      <c r="B56" t="s">
        <v>732</v>
      </c>
      <c r="C56">
        <v>1601</v>
      </c>
      <c r="D56">
        <v>1</v>
      </c>
      <c r="E56" t="s">
        <v>7</v>
      </c>
      <c r="F56" t="s">
        <v>9</v>
      </c>
      <c r="H56">
        <v>1</v>
      </c>
    </row>
    <row r="57" spans="1:8" x14ac:dyDescent="0.45">
      <c r="A57">
        <v>1.9</v>
      </c>
      <c r="B57" t="s">
        <v>732</v>
      </c>
      <c r="C57">
        <v>1601</v>
      </c>
      <c r="D57">
        <v>2</v>
      </c>
      <c r="E57" t="s">
        <v>7</v>
      </c>
      <c r="F57" t="s">
        <v>10</v>
      </c>
      <c r="H57">
        <v>1</v>
      </c>
    </row>
    <row r="58" spans="1:8" x14ac:dyDescent="0.45">
      <c r="A58">
        <v>1.9</v>
      </c>
      <c r="B58" t="s">
        <v>732</v>
      </c>
      <c r="C58">
        <v>1601</v>
      </c>
      <c r="D58">
        <v>3</v>
      </c>
      <c r="E58" t="s">
        <v>5</v>
      </c>
      <c r="F58" t="s">
        <v>147</v>
      </c>
      <c r="H58">
        <v>1</v>
      </c>
    </row>
    <row r="59" spans="1:8" x14ac:dyDescent="0.45">
      <c r="A59">
        <v>1.9</v>
      </c>
      <c r="B59" t="s">
        <v>732</v>
      </c>
      <c r="C59">
        <v>1601</v>
      </c>
      <c r="D59">
        <v>4</v>
      </c>
      <c r="E59" t="s">
        <v>5</v>
      </c>
      <c r="F59" t="s">
        <v>733</v>
      </c>
      <c r="H59">
        <v>1</v>
      </c>
    </row>
    <row r="60" spans="1:8" x14ac:dyDescent="0.45">
      <c r="A60">
        <v>1.9</v>
      </c>
      <c r="B60" t="s">
        <v>732</v>
      </c>
      <c r="C60">
        <v>1601</v>
      </c>
      <c r="D60">
        <v>5</v>
      </c>
      <c r="E60" t="s">
        <v>7</v>
      </c>
      <c r="F60" t="s">
        <v>9</v>
      </c>
      <c r="H60">
        <v>1</v>
      </c>
    </row>
    <row r="61" spans="1:8" x14ac:dyDescent="0.45">
      <c r="A61">
        <v>1.9</v>
      </c>
      <c r="B61" t="s">
        <v>732</v>
      </c>
      <c r="C61">
        <v>1601</v>
      </c>
      <c r="D61">
        <v>6</v>
      </c>
      <c r="E61" t="s">
        <v>5</v>
      </c>
      <c r="F61" t="s">
        <v>199</v>
      </c>
      <c r="H61">
        <v>1</v>
      </c>
    </row>
    <row r="62" spans="1:8" x14ac:dyDescent="0.45">
      <c r="A62">
        <v>1.9</v>
      </c>
      <c r="B62" t="s">
        <v>732</v>
      </c>
      <c r="C62">
        <v>1601</v>
      </c>
      <c r="D62">
        <v>7</v>
      </c>
      <c r="E62" t="s">
        <v>5</v>
      </c>
      <c r="F62" t="s">
        <v>735</v>
      </c>
      <c r="H62">
        <v>1</v>
      </c>
    </row>
    <row r="63" spans="1:8" x14ac:dyDescent="0.45">
      <c r="A63">
        <v>1.9</v>
      </c>
      <c r="B63" t="s">
        <v>732</v>
      </c>
      <c r="C63">
        <v>1601</v>
      </c>
      <c r="D63">
        <v>8</v>
      </c>
      <c r="E63" t="s">
        <v>5</v>
      </c>
      <c r="F63" t="s">
        <v>142</v>
      </c>
      <c r="H63">
        <v>1</v>
      </c>
    </row>
    <row r="64" spans="1:8" x14ac:dyDescent="0.45">
      <c r="A64">
        <v>1.9</v>
      </c>
      <c r="B64" t="s">
        <v>732</v>
      </c>
      <c r="C64">
        <v>1601</v>
      </c>
      <c r="D64">
        <v>9</v>
      </c>
      <c r="E64" t="s">
        <v>5</v>
      </c>
      <c r="F64" t="s">
        <v>736</v>
      </c>
      <c r="H64">
        <v>1</v>
      </c>
    </row>
    <row r="65" spans="1:8" x14ac:dyDescent="0.45">
      <c r="A65">
        <v>1.9</v>
      </c>
      <c r="B65" t="s">
        <v>732</v>
      </c>
      <c r="C65">
        <v>1601</v>
      </c>
      <c r="D65">
        <v>10</v>
      </c>
      <c r="E65" t="s">
        <v>5</v>
      </c>
      <c r="F65" t="s">
        <v>370</v>
      </c>
      <c r="G65" t="s">
        <v>171</v>
      </c>
      <c r="H65">
        <v>1</v>
      </c>
    </row>
    <row r="66" spans="1:8" x14ac:dyDescent="0.45">
      <c r="A66">
        <v>1.9</v>
      </c>
      <c r="B66" t="s">
        <v>732</v>
      </c>
      <c r="C66">
        <v>1601</v>
      </c>
      <c r="D66">
        <v>11</v>
      </c>
      <c r="E66" t="s">
        <v>5</v>
      </c>
      <c r="F66" t="s">
        <v>373</v>
      </c>
      <c r="G66" t="s">
        <v>171</v>
      </c>
      <c r="H66">
        <v>1</v>
      </c>
    </row>
    <row r="67" spans="1:8" x14ac:dyDescent="0.45">
      <c r="A67">
        <v>1.9</v>
      </c>
      <c r="B67" t="s">
        <v>732</v>
      </c>
      <c r="C67">
        <v>1601</v>
      </c>
      <c r="D67">
        <v>12</v>
      </c>
      <c r="E67" t="s">
        <v>5</v>
      </c>
      <c r="F67" t="s">
        <v>734</v>
      </c>
      <c r="H67">
        <v>1</v>
      </c>
    </row>
    <row r="68" spans="1:8" x14ac:dyDescent="0.45">
      <c r="A68">
        <v>1.9</v>
      </c>
      <c r="B68" t="s">
        <v>732</v>
      </c>
      <c r="C68">
        <v>1201</v>
      </c>
      <c r="D68">
        <v>1</v>
      </c>
      <c r="E68" t="s">
        <v>5</v>
      </c>
      <c r="F68" t="s">
        <v>550</v>
      </c>
      <c r="G68" t="s">
        <v>171</v>
      </c>
      <c r="H68">
        <v>1</v>
      </c>
    </row>
    <row r="69" spans="1:8" x14ac:dyDescent="0.45">
      <c r="A69">
        <v>1.9</v>
      </c>
      <c r="B69" t="s">
        <v>732</v>
      </c>
      <c r="C69">
        <v>1201</v>
      </c>
      <c r="D69">
        <v>2</v>
      </c>
      <c r="E69" t="s">
        <v>5</v>
      </c>
      <c r="F69" t="s">
        <v>737</v>
      </c>
      <c r="H69">
        <v>1</v>
      </c>
    </row>
    <row r="70" spans="1:8" x14ac:dyDescent="0.45">
      <c r="A70">
        <v>1.9</v>
      </c>
      <c r="B70" t="s">
        <v>732</v>
      </c>
      <c r="C70">
        <v>1201</v>
      </c>
      <c r="D70">
        <v>3</v>
      </c>
      <c r="E70" t="s">
        <v>5</v>
      </c>
      <c r="F70" t="s">
        <v>738</v>
      </c>
      <c r="H70">
        <v>1</v>
      </c>
    </row>
    <row r="71" spans="1:8" x14ac:dyDescent="0.45">
      <c r="A71">
        <v>1.9</v>
      </c>
      <c r="B71" t="s">
        <v>732</v>
      </c>
      <c r="C71">
        <v>1201</v>
      </c>
      <c r="D71">
        <v>4</v>
      </c>
      <c r="E71" t="s">
        <v>7</v>
      </c>
      <c r="F71" t="s">
        <v>9</v>
      </c>
      <c r="H71">
        <v>1</v>
      </c>
    </row>
    <row r="72" spans="1:8" x14ac:dyDescent="0.45">
      <c r="A72">
        <v>1.9</v>
      </c>
      <c r="B72" t="s">
        <v>732</v>
      </c>
      <c r="C72">
        <v>801</v>
      </c>
      <c r="D72">
        <v>1</v>
      </c>
      <c r="E72" t="s">
        <v>7</v>
      </c>
      <c r="F72" t="s">
        <v>11</v>
      </c>
      <c r="H72">
        <v>1</v>
      </c>
    </row>
    <row r="73" spans="1:8" x14ac:dyDescent="0.45">
      <c r="A73">
        <v>1.9</v>
      </c>
      <c r="B73" t="s">
        <v>732</v>
      </c>
      <c r="C73">
        <v>801</v>
      </c>
      <c r="D73">
        <v>2</v>
      </c>
      <c r="E73" t="s">
        <v>5</v>
      </c>
      <c r="F73" t="s">
        <v>739</v>
      </c>
      <c r="H73">
        <v>1</v>
      </c>
    </row>
    <row r="74" spans="1:8" x14ac:dyDescent="0.45">
      <c r="A74">
        <v>1.9</v>
      </c>
      <c r="B74" t="s">
        <v>732</v>
      </c>
      <c r="C74">
        <v>801</v>
      </c>
      <c r="D74">
        <v>3</v>
      </c>
      <c r="E74" t="s">
        <v>5</v>
      </c>
      <c r="F74" t="s">
        <v>91</v>
      </c>
      <c r="G74" t="s">
        <v>171</v>
      </c>
      <c r="H74">
        <v>1</v>
      </c>
    </row>
    <row r="75" spans="1:8" x14ac:dyDescent="0.45">
      <c r="A75">
        <v>1.9</v>
      </c>
      <c r="B75" t="s">
        <v>732</v>
      </c>
      <c r="C75">
        <v>801</v>
      </c>
      <c r="D75">
        <v>4</v>
      </c>
      <c r="E75" t="s">
        <v>5</v>
      </c>
      <c r="F75" t="s">
        <v>740</v>
      </c>
      <c r="H75">
        <v>1</v>
      </c>
    </row>
    <row r="76" spans="1:8" x14ac:dyDescent="0.45">
      <c r="A76">
        <v>1.9</v>
      </c>
      <c r="B76" t="s">
        <v>732</v>
      </c>
      <c r="C76">
        <v>801</v>
      </c>
      <c r="D76">
        <v>5</v>
      </c>
      <c r="E76" t="s">
        <v>7</v>
      </c>
      <c r="F76" t="s">
        <v>9</v>
      </c>
      <c r="H76">
        <v>1</v>
      </c>
    </row>
    <row r="77" spans="1:8" x14ac:dyDescent="0.45">
      <c r="A77">
        <v>1.9</v>
      </c>
      <c r="B77" t="s">
        <v>732</v>
      </c>
      <c r="C77">
        <v>801</v>
      </c>
      <c r="D77">
        <v>6</v>
      </c>
      <c r="E77" t="s">
        <v>5</v>
      </c>
      <c r="F77" t="s">
        <v>45</v>
      </c>
      <c r="H77">
        <v>1</v>
      </c>
    </row>
    <row r="78" spans="1:8" x14ac:dyDescent="0.45">
      <c r="A78">
        <v>1.9</v>
      </c>
      <c r="B78" t="s">
        <v>732</v>
      </c>
      <c r="C78">
        <v>801</v>
      </c>
      <c r="D78">
        <v>7</v>
      </c>
      <c r="E78" t="s">
        <v>5</v>
      </c>
      <c r="F78" t="s">
        <v>742</v>
      </c>
      <c r="G78" t="s">
        <v>171</v>
      </c>
      <c r="H78">
        <v>1</v>
      </c>
    </row>
    <row r="79" spans="1:8" x14ac:dyDescent="0.45">
      <c r="A79">
        <v>1.9</v>
      </c>
      <c r="B79" t="s">
        <v>732</v>
      </c>
      <c r="C79">
        <v>801</v>
      </c>
      <c r="D79">
        <v>8</v>
      </c>
      <c r="E79" t="s">
        <v>7</v>
      </c>
      <c r="F79" t="s">
        <v>11</v>
      </c>
      <c r="H79">
        <v>1</v>
      </c>
    </row>
    <row r="80" spans="1:8" x14ac:dyDescent="0.45">
      <c r="A80">
        <v>1.9</v>
      </c>
      <c r="B80" t="s">
        <v>732</v>
      </c>
      <c r="C80">
        <v>801</v>
      </c>
      <c r="D80">
        <v>9</v>
      </c>
      <c r="E80" t="s">
        <v>5</v>
      </c>
      <c r="F80" t="s">
        <v>741</v>
      </c>
      <c r="H80">
        <v>1</v>
      </c>
    </row>
    <row r="81" spans="1:8" x14ac:dyDescent="0.45">
      <c r="A81">
        <v>1.9</v>
      </c>
      <c r="B81" t="s">
        <v>732</v>
      </c>
      <c r="C81">
        <v>401</v>
      </c>
      <c r="D81">
        <v>1</v>
      </c>
      <c r="E81" t="s">
        <v>5</v>
      </c>
      <c r="F81" t="s">
        <v>34</v>
      </c>
      <c r="G81" t="s">
        <v>171</v>
      </c>
      <c r="H81">
        <v>1</v>
      </c>
    </row>
    <row r="82" spans="1:8" x14ac:dyDescent="0.45">
      <c r="A82">
        <v>1.9</v>
      </c>
      <c r="B82" t="s">
        <v>732</v>
      </c>
      <c r="C82">
        <v>401</v>
      </c>
      <c r="D82">
        <v>2</v>
      </c>
      <c r="E82" t="s">
        <v>7</v>
      </c>
      <c r="F82" t="s">
        <v>9</v>
      </c>
      <c r="H82">
        <v>1</v>
      </c>
    </row>
    <row r="83" spans="1:8" x14ac:dyDescent="0.45">
      <c r="A83">
        <v>1.9</v>
      </c>
      <c r="B83" t="s">
        <v>732</v>
      </c>
      <c r="C83">
        <v>401</v>
      </c>
      <c r="D83">
        <v>3</v>
      </c>
      <c r="E83" t="s">
        <v>5</v>
      </c>
      <c r="F83" t="s">
        <v>34</v>
      </c>
      <c r="H83">
        <v>1</v>
      </c>
    </row>
    <row r="84" spans="1:8" x14ac:dyDescent="0.45">
      <c r="A84">
        <v>1.9</v>
      </c>
      <c r="B84" t="s">
        <v>732</v>
      </c>
      <c r="C84">
        <v>401</v>
      </c>
      <c r="D84">
        <v>4</v>
      </c>
      <c r="E84" t="s">
        <v>5</v>
      </c>
      <c r="F84" t="s">
        <v>744</v>
      </c>
      <c r="H84">
        <v>1</v>
      </c>
    </row>
    <row r="85" spans="1:8" x14ac:dyDescent="0.45">
      <c r="A85">
        <v>1.9</v>
      </c>
      <c r="B85" t="s">
        <v>732</v>
      </c>
      <c r="C85">
        <v>401</v>
      </c>
      <c r="D85">
        <v>5</v>
      </c>
      <c r="E85" t="s">
        <v>5</v>
      </c>
      <c r="F85" t="s">
        <v>743</v>
      </c>
      <c r="H85">
        <v>1</v>
      </c>
    </row>
    <row r="86" spans="1:8" x14ac:dyDescent="0.45">
      <c r="A86">
        <v>1.9</v>
      </c>
      <c r="B86" t="s">
        <v>732</v>
      </c>
      <c r="C86">
        <v>401</v>
      </c>
      <c r="D86">
        <v>6</v>
      </c>
      <c r="E86" t="s">
        <v>5</v>
      </c>
      <c r="F86" t="s">
        <v>507</v>
      </c>
      <c r="H86">
        <v>1</v>
      </c>
    </row>
    <row r="87" spans="1:8" x14ac:dyDescent="0.45">
      <c r="A87">
        <v>1.9</v>
      </c>
      <c r="B87" t="s">
        <v>732</v>
      </c>
      <c r="C87">
        <v>401</v>
      </c>
      <c r="D87">
        <v>7</v>
      </c>
      <c r="E87" t="s">
        <v>7</v>
      </c>
      <c r="F87" t="s">
        <v>10</v>
      </c>
      <c r="H87">
        <v>1</v>
      </c>
    </row>
    <row r="88" spans="1:8" x14ac:dyDescent="0.45">
      <c r="A88">
        <v>1.9</v>
      </c>
      <c r="B88" t="s">
        <v>732</v>
      </c>
      <c r="C88">
        <v>1</v>
      </c>
      <c r="D88">
        <v>1</v>
      </c>
      <c r="E88" t="s">
        <v>5</v>
      </c>
      <c r="F88" t="s">
        <v>238</v>
      </c>
      <c r="H88">
        <v>1</v>
      </c>
    </row>
    <row r="89" spans="1:8" x14ac:dyDescent="0.45">
      <c r="A89">
        <v>1.9</v>
      </c>
      <c r="B89" t="s">
        <v>732</v>
      </c>
      <c r="C89">
        <v>1</v>
      </c>
      <c r="D89">
        <v>2</v>
      </c>
      <c r="E89" t="s">
        <v>7</v>
      </c>
      <c r="F89" t="s">
        <v>9</v>
      </c>
      <c r="H89">
        <v>1</v>
      </c>
    </row>
    <row r="90" spans="1:8" x14ac:dyDescent="0.45">
      <c r="A90">
        <v>1.9</v>
      </c>
      <c r="B90" t="s">
        <v>732</v>
      </c>
      <c r="C90">
        <v>1</v>
      </c>
      <c r="D90">
        <v>3</v>
      </c>
      <c r="E90" t="s">
        <v>7</v>
      </c>
      <c r="F90" t="s">
        <v>9</v>
      </c>
      <c r="H90">
        <v>1</v>
      </c>
    </row>
    <row r="91" spans="1:8" x14ac:dyDescent="0.45">
      <c r="A91">
        <v>1.9</v>
      </c>
      <c r="B91" t="s">
        <v>732</v>
      </c>
      <c r="C91">
        <v>1</v>
      </c>
      <c r="D91">
        <v>4</v>
      </c>
      <c r="E91" t="s">
        <v>7</v>
      </c>
      <c r="F91" t="s">
        <v>9</v>
      </c>
      <c r="H91">
        <v>1</v>
      </c>
    </row>
    <row r="92" spans="1:8" x14ac:dyDescent="0.45">
      <c r="A92">
        <v>1.9</v>
      </c>
      <c r="B92" t="s">
        <v>732</v>
      </c>
      <c r="C92">
        <v>1</v>
      </c>
      <c r="D92">
        <v>5</v>
      </c>
      <c r="E92" t="s">
        <v>5</v>
      </c>
      <c r="F92" t="s">
        <v>211</v>
      </c>
      <c r="G92" t="s">
        <v>171</v>
      </c>
      <c r="H92">
        <v>1</v>
      </c>
    </row>
    <row r="93" spans="1:8" x14ac:dyDescent="0.45">
      <c r="A93">
        <v>1.9</v>
      </c>
      <c r="B93" t="s">
        <v>732</v>
      </c>
      <c r="C93">
        <v>1</v>
      </c>
      <c r="D93">
        <v>6</v>
      </c>
      <c r="E93" t="s">
        <v>7</v>
      </c>
      <c r="F93" t="s">
        <v>9</v>
      </c>
      <c r="H93">
        <v>1</v>
      </c>
    </row>
    <row r="94" spans="1:8" x14ac:dyDescent="0.45">
      <c r="A94">
        <v>1.9</v>
      </c>
      <c r="B94" t="s">
        <v>732</v>
      </c>
      <c r="C94">
        <v>1</v>
      </c>
      <c r="D94">
        <v>7</v>
      </c>
      <c r="E94" t="s">
        <v>7</v>
      </c>
      <c r="F94" t="s">
        <v>9</v>
      </c>
      <c r="H94">
        <v>1</v>
      </c>
    </row>
    <row r="95" spans="1:8" x14ac:dyDescent="0.45">
      <c r="A95">
        <v>1.9</v>
      </c>
      <c r="B95" t="s">
        <v>732</v>
      </c>
      <c r="C95">
        <v>1</v>
      </c>
      <c r="D95">
        <v>8</v>
      </c>
      <c r="E95" t="s">
        <v>5</v>
      </c>
      <c r="F95" t="s">
        <v>239</v>
      </c>
      <c r="H95">
        <v>1</v>
      </c>
    </row>
    <row r="96" spans="1:8" x14ac:dyDescent="0.45">
      <c r="A96">
        <v>1.9</v>
      </c>
      <c r="B96" t="s">
        <v>732</v>
      </c>
      <c r="C96">
        <v>1</v>
      </c>
      <c r="D96">
        <v>9</v>
      </c>
      <c r="E96" t="s">
        <v>5</v>
      </c>
      <c r="F96" t="s">
        <v>694</v>
      </c>
      <c r="H96">
        <v>1</v>
      </c>
    </row>
    <row r="97" spans="1:8" x14ac:dyDescent="0.45">
      <c r="A97">
        <v>1.9</v>
      </c>
      <c r="B97" t="s">
        <v>732</v>
      </c>
      <c r="C97">
        <v>1</v>
      </c>
      <c r="D97">
        <v>10</v>
      </c>
      <c r="E97" t="s">
        <v>5</v>
      </c>
      <c r="F97" t="s">
        <v>314</v>
      </c>
      <c r="H97">
        <v>1</v>
      </c>
    </row>
    <row r="98" spans="1:8" x14ac:dyDescent="0.45">
      <c r="A98">
        <v>1.9</v>
      </c>
      <c r="B98" t="s">
        <v>745</v>
      </c>
      <c r="C98">
        <v>1601</v>
      </c>
      <c r="D98">
        <v>1</v>
      </c>
      <c r="E98" t="s">
        <v>5</v>
      </c>
      <c r="F98" t="s">
        <v>682</v>
      </c>
      <c r="H98">
        <v>1</v>
      </c>
    </row>
    <row r="99" spans="1:8" x14ac:dyDescent="0.45">
      <c r="A99">
        <v>1.9</v>
      </c>
      <c r="B99" t="s">
        <v>745</v>
      </c>
      <c r="C99">
        <v>1601</v>
      </c>
      <c r="D99">
        <v>2</v>
      </c>
      <c r="E99" t="s">
        <v>5</v>
      </c>
      <c r="F99" t="s">
        <v>194</v>
      </c>
      <c r="H99">
        <v>1</v>
      </c>
    </row>
    <row r="100" spans="1:8" x14ac:dyDescent="0.45">
      <c r="A100">
        <v>1.9</v>
      </c>
      <c r="B100" t="s">
        <v>745</v>
      </c>
      <c r="C100">
        <v>1601</v>
      </c>
      <c r="D100">
        <v>3</v>
      </c>
      <c r="E100" t="s">
        <v>5</v>
      </c>
      <c r="F100" t="s">
        <v>144</v>
      </c>
      <c r="H100">
        <v>1</v>
      </c>
    </row>
    <row r="101" spans="1:8" x14ac:dyDescent="0.45">
      <c r="A101">
        <v>1.9</v>
      </c>
      <c r="B101" t="s">
        <v>745</v>
      </c>
      <c r="C101">
        <v>1601</v>
      </c>
      <c r="D101">
        <v>4</v>
      </c>
      <c r="E101" t="s">
        <v>5</v>
      </c>
      <c r="F101" t="s">
        <v>101</v>
      </c>
      <c r="H101">
        <v>1</v>
      </c>
    </row>
    <row r="102" spans="1:8" x14ac:dyDescent="0.45">
      <c r="A102">
        <v>1.9</v>
      </c>
      <c r="B102" t="s">
        <v>745</v>
      </c>
      <c r="C102">
        <v>1601</v>
      </c>
      <c r="D102">
        <v>5</v>
      </c>
      <c r="E102" t="s">
        <v>5</v>
      </c>
      <c r="F102" t="s">
        <v>65</v>
      </c>
      <c r="H102">
        <v>1</v>
      </c>
    </row>
    <row r="103" spans="1:8" x14ac:dyDescent="0.45">
      <c r="A103">
        <v>1.9</v>
      </c>
      <c r="B103" t="s">
        <v>745</v>
      </c>
      <c r="C103">
        <v>1601</v>
      </c>
      <c r="D103">
        <v>6</v>
      </c>
      <c r="E103" t="s">
        <v>5</v>
      </c>
      <c r="F103" t="s">
        <v>747</v>
      </c>
      <c r="H103">
        <v>1</v>
      </c>
    </row>
    <row r="104" spans="1:8" x14ac:dyDescent="0.45">
      <c r="A104">
        <v>1.9</v>
      </c>
      <c r="B104" t="s">
        <v>745</v>
      </c>
      <c r="C104">
        <v>1601</v>
      </c>
      <c r="D104">
        <v>7</v>
      </c>
      <c r="E104" t="s">
        <v>7</v>
      </c>
      <c r="F104" t="s">
        <v>9</v>
      </c>
      <c r="H104">
        <v>1</v>
      </c>
    </row>
    <row r="105" spans="1:8" x14ac:dyDescent="0.45">
      <c r="A105">
        <v>1.9</v>
      </c>
      <c r="B105" t="s">
        <v>745</v>
      </c>
      <c r="C105">
        <v>1601</v>
      </c>
      <c r="D105">
        <v>8</v>
      </c>
      <c r="E105" t="s">
        <v>5</v>
      </c>
      <c r="F105" t="s">
        <v>746</v>
      </c>
      <c r="H105">
        <v>1</v>
      </c>
    </row>
    <row r="106" spans="1:8" x14ac:dyDescent="0.45">
      <c r="A106">
        <v>1.9</v>
      </c>
      <c r="B106" t="s">
        <v>745</v>
      </c>
      <c r="C106">
        <v>1201</v>
      </c>
      <c r="D106">
        <v>1</v>
      </c>
      <c r="E106" t="s">
        <v>5</v>
      </c>
      <c r="F106" t="s">
        <v>416</v>
      </c>
      <c r="H106">
        <v>1</v>
      </c>
    </row>
    <row r="107" spans="1:8" x14ac:dyDescent="0.45">
      <c r="A107">
        <v>1.9</v>
      </c>
      <c r="B107" t="s">
        <v>745</v>
      </c>
      <c r="C107">
        <v>1201</v>
      </c>
      <c r="D107">
        <v>2</v>
      </c>
      <c r="E107" t="s">
        <v>5</v>
      </c>
      <c r="F107" t="s">
        <v>749</v>
      </c>
      <c r="H107">
        <v>1</v>
      </c>
    </row>
    <row r="108" spans="1:8" x14ac:dyDescent="0.45">
      <c r="A108">
        <v>1.9</v>
      </c>
      <c r="B108" t="s">
        <v>745</v>
      </c>
      <c r="C108">
        <v>1201</v>
      </c>
      <c r="D108">
        <v>3</v>
      </c>
      <c r="E108" t="s">
        <v>5</v>
      </c>
      <c r="F108" t="s">
        <v>748</v>
      </c>
      <c r="H108">
        <v>1</v>
      </c>
    </row>
    <row r="109" spans="1:8" x14ac:dyDescent="0.45">
      <c r="A109">
        <v>1.9</v>
      </c>
      <c r="B109" t="s">
        <v>745</v>
      </c>
      <c r="C109">
        <v>1201</v>
      </c>
      <c r="D109">
        <v>4</v>
      </c>
      <c r="E109" t="s">
        <v>5</v>
      </c>
      <c r="F109" t="s">
        <v>177</v>
      </c>
      <c r="H109">
        <v>1</v>
      </c>
    </row>
    <row r="110" spans="1:8" x14ac:dyDescent="0.45">
      <c r="A110">
        <v>1.9</v>
      </c>
      <c r="B110" t="s">
        <v>745</v>
      </c>
      <c r="C110">
        <v>1201</v>
      </c>
      <c r="D110">
        <v>5</v>
      </c>
      <c r="E110" t="s">
        <v>7</v>
      </c>
      <c r="F110" t="s">
        <v>9</v>
      </c>
      <c r="H110">
        <v>1</v>
      </c>
    </row>
    <row r="111" spans="1:8" x14ac:dyDescent="0.45">
      <c r="A111">
        <v>1.9</v>
      </c>
      <c r="B111" t="s">
        <v>745</v>
      </c>
      <c r="C111">
        <v>1201</v>
      </c>
      <c r="D111">
        <v>6</v>
      </c>
      <c r="E111" t="s">
        <v>5</v>
      </c>
      <c r="F111" t="s">
        <v>226</v>
      </c>
      <c r="H111">
        <v>1</v>
      </c>
    </row>
    <row r="112" spans="1:8" x14ac:dyDescent="0.45">
      <c r="A112">
        <v>1.9</v>
      </c>
      <c r="B112" t="s">
        <v>745</v>
      </c>
      <c r="C112">
        <v>1201</v>
      </c>
      <c r="D112">
        <v>7</v>
      </c>
      <c r="E112" t="s">
        <v>5</v>
      </c>
      <c r="F112" t="s">
        <v>59</v>
      </c>
      <c r="H112">
        <v>1</v>
      </c>
    </row>
    <row r="113" spans="1:8" x14ac:dyDescent="0.45">
      <c r="A113">
        <v>1.9</v>
      </c>
      <c r="B113" t="s">
        <v>745</v>
      </c>
      <c r="C113">
        <v>1201</v>
      </c>
      <c r="D113">
        <v>8</v>
      </c>
      <c r="E113" t="s">
        <v>5</v>
      </c>
      <c r="F113" t="s">
        <v>414</v>
      </c>
      <c r="H113">
        <v>1</v>
      </c>
    </row>
    <row r="114" spans="1:8" x14ac:dyDescent="0.45">
      <c r="A114">
        <v>1.9</v>
      </c>
      <c r="B114" t="s">
        <v>745</v>
      </c>
      <c r="C114">
        <v>801</v>
      </c>
      <c r="D114">
        <v>1</v>
      </c>
      <c r="E114" t="s">
        <v>5</v>
      </c>
      <c r="F114" t="s">
        <v>750</v>
      </c>
      <c r="H114">
        <v>1</v>
      </c>
    </row>
    <row r="115" spans="1:8" x14ac:dyDescent="0.45">
      <c r="A115">
        <v>1.9</v>
      </c>
      <c r="B115" t="s">
        <v>745</v>
      </c>
      <c r="C115">
        <v>801</v>
      </c>
      <c r="D115">
        <v>2</v>
      </c>
      <c r="E115" t="s">
        <v>5</v>
      </c>
      <c r="F115" t="s">
        <v>41</v>
      </c>
      <c r="G115" t="s">
        <v>171</v>
      </c>
      <c r="H115">
        <v>1</v>
      </c>
    </row>
    <row r="116" spans="1:8" x14ac:dyDescent="0.45">
      <c r="A116">
        <v>1.9</v>
      </c>
      <c r="B116" t="s">
        <v>745</v>
      </c>
      <c r="C116">
        <v>801</v>
      </c>
      <c r="D116">
        <v>3</v>
      </c>
      <c r="E116" t="s">
        <v>7</v>
      </c>
      <c r="F116" t="s">
        <v>751</v>
      </c>
      <c r="H116">
        <v>1</v>
      </c>
    </row>
    <row r="117" spans="1:8" x14ac:dyDescent="0.45">
      <c r="A117">
        <v>1.9</v>
      </c>
      <c r="B117" t="s">
        <v>745</v>
      </c>
      <c r="C117">
        <v>801</v>
      </c>
      <c r="D117">
        <v>4</v>
      </c>
      <c r="E117" t="s">
        <v>5</v>
      </c>
      <c r="F117" t="s">
        <v>43</v>
      </c>
      <c r="G117" t="s">
        <v>171</v>
      </c>
      <c r="H117">
        <v>1</v>
      </c>
    </row>
    <row r="118" spans="1:8" x14ac:dyDescent="0.45">
      <c r="A118">
        <v>1.9</v>
      </c>
      <c r="B118" t="s">
        <v>745</v>
      </c>
      <c r="C118">
        <v>801</v>
      </c>
      <c r="D118">
        <v>5</v>
      </c>
      <c r="E118" t="s">
        <v>5</v>
      </c>
      <c r="F118" t="s">
        <v>717</v>
      </c>
      <c r="H118">
        <v>1</v>
      </c>
    </row>
    <row r="119" spans="1:8" x14ac:dyDescent="0.45">
      <c r="A119">
        <v>1.9</v>
      </c>
      <c r="B119" t="s">
        <v>745</v>
      </c>
      <c r="C119">
        <v>801</v>
      </c>
      <c r="D119">
        <v>6</v>
      </c>
      <c r="E119" t="s">
        <v>5</v>
      </c>
      <c r="F119" t="s">
        <v>739</v>
      </c>
      <c r="H119">
        <v>1</v>
      </c>
    </row>
    <row r="120" spans="1:8" x14ac:dyDescent="0.45">
      <c r="A120">
        <v>1.9</v>
      </c>
      <c r="B120" t="s">
        <v>745</v>
      </c>
      <c r="C120">
        <v>801</v>
      </c>
      <c r="D120">
        <v>7</v>
      </c>
      <c r="E120" t="s">
        <v>5</v>
      </c>
      <c r="F120" t="s">
        <v>629</v>
      </c>
      <c r="H120">
        <v>1</v>
      </c>
    </row>
    <row r="121" spans="1:8" x14ac:dyDescent="0.45">
      <c r="A121">
        <v>1.9</v>
      </c>
      <c r="B121" t="s">
        <v>745</v>
      </c>
      <c r="C121">
        <v>801</v>
      </c>
      <c r="D121">
        <v>8</v>
      </c>
      <c r="E121" t="s">
        <v>5</v>
      </c>
      <c r="F121" t="s">
        <v>401</v>
      </c>
      <c r="H121">
        <v>1</v>
      </c>
    </row>
    <row r="122" spans="1:8" x14ac:dyDescent="0.45">
      <c r="A122">
        <v>1.9</v>
      </c>
      <c r="B122" t="s">
        <v>745</v>
      </c>
      <c r="C122">
        <v>801</v>
      </c>
      <c r="D122">
        <v>9</v>
      </c>
      <c r="E122" t="s">
        <v>5</v>
      </c>
      <c r="F122" t="s">
        <v>128</v>
      </c>
      <c r="H122">
        <v>1</v>
      </c>
    </row>
    <row r="123" spans="1:8" x14ac:dyDescent="0.45">
      <c r="A123">
        <v>1.9</v>
      </c>
      <c r="B123" t="s">
        <v>745</v>
      </c>
      <c r="C123">
        <v>801</v>
      </c>
      <c r="D123">
        <v>10</v>
      </c>
      <c r="E123" t="s">
        <v>5</v>
      </c>
      <c r="F123" t="s">
        <v>40</v>
      </c>
      <c r="H123">
        <v>1</v>
      </c>
    </row>
    <row r="124" spans="1:8" x14ac:dyDescent="0.45">
      <c r="A124">
        <v>1.9</v>
      </c>
      <c r="B124" t="s">
        <v>745</v>
      </c>
      <c r="C124">
        <v>801</v>
      </c>
      <c r="D124">
        <v>11</v>
      </c>
      <c r="E124" t="s">
        <v>5</v>
      </c>
      <c r="F124" t="s">
        <v>753</v>
      </c>
      <c r="H124">
        <v>1</v>
      </c>
    </row>
    <row r="125" spans="1:8" x14ac:dyDescent="0.45">
      <c r="A125">
        <v>1.9</v>
      </c>
      <c r="B125" t="s">
        <v>745</v>
      </c>
      <c r="C125">
        <v>801</v>
      </c>
      <c r="D125">
        <v>12</v>
      </c>
      <c r="E125" t="s">
        <v>5</v>
      </c>
      <c r="F125" t="s">
        <v>752</v>
      </c>
      <c r="H125">
        <v>1</v>
      </c>
    </row>
    <row r="126" spans="1:8" x14ac:dyDescent="0.45">
      <c r="A126">
        <v>1.9</v>
      </c>
      <c r="B126" t="s">
        <v>745</v>
      </c>
      <c r="C126">
        <v>401</v>
      </c>
      <c r="D126">
        <v>1</v>
      </c>
      <c r="E126" t="s">
        <v>5</v>
      </c>
      <c r="F126" t="s">
        <v>246</v>
      </c>
      <c r="H126">
        <v>1</v>
      </c>
    </row>
    <row r="127" spans="1:8" x14ac:dyDescent="0.45">
      <c r="A127">
        <v>1.9</v>
      </c>
      <c r="B127" t="s">
        <v>745</v>
      </c>
      <c r="C127">
        <v>401</v>
      </c>
      <c r="D127">
        <v>2</v>
      </c>
      <c r="E127" t="s">
        <v>7</v>
      </c>
      <c r="F127" t="s">
        <v>9</v>
      </c>
      <c r="H127">
        <v>1</v>
      </c>
    </row>
    <row r="128" spans="1:8" x14ac:dyDescent="0.45">
      <c r="A128">
        <v>1.9</v>
      </c>
      <c r="B128" t="s">
        <v>745</v>
      </c>
      <c r="C128">
        <v>401</v>
      </c>
      <c r="D128">
        <v>3</v>
      </c>
      <c r="E128" t="s">
        <v>5</v>
      </c>
      <c r="F128" t="s">
        <v>38</v>
      </c>
      <c r="H128">
        <v>1</v>
      </c>
    </row>
    <row r="129" spans="1:8" x14ac:dyDescent="0.45">
      <c r="A129">
        <v>1.9</v>
      </c>
      <c r="B129" t="s">
        <v>745</v>
      </c>
      <c r="C129">
        <v>401</v>
      </c>
      <c r="D129">
        <v>4</v>
      </c>
      <c r="E129" t="s">
        <v>5</v>
      </c>
      <c r="F129" t="s">
        <v>754</v>
      </c>
      <c r="H129">
        <v>1</v>
      </c>
    </row>
    <row r="130" spans="1:8" x14ac:dyDescent="0.45">
      <c r="A130">
        <v>1.9</v>
      </c>
      <c r="B130" t="s">
        <v>745</v>
      </c>
      <c r="C130">
        <v>401</v>
      </c>
      <c r="D130">
        <v>5</v>
      </c>
      <c r="E130" t="s">
        <v>5</v>
      </c>
      <c r="F130" t="s">
        <v>755</v>
      </c>
      <c r="G130" t="s">
        <v>171</v>
      </c>
      <c r="H130">
        <v>1</v>
      </c>
    </row>
    <row r="131" spans="1:8" x14ac:dyDescent="0.45">
      <c r="A131">
        <v>1.9</v>
      </c>
      <c r="B131" t="s">
        <v>745</v>
      </c>
      <c r="C131">
        <v>401</v>
      </c>
      <c r="D131">
        <v>6</v>
      </c>
      <c r="E131" t="s">
        <v>7</v>
      </c>
      <c r="F131" t="s">
        <v>10</v>
      </c>
      <c r="H131">
        <v>1</v>
      </c>
    </row>
    <row r="132" spans="1:8" x14ac:dyDescent="0.45">
      <c r="A132">
        <v>1.9</v>
      </c>
      <c r="B132" t="s">
        <v>745</v>
      </c>
      <c r="C132">
        <v>401</v>
      </c>
      <c r="D132">
        <v>7</v>
      </c>
      <c r="E132" t="s">
        <v>5</v>
      </c>
      <c r="F132" t="s">
        <v>32</v>
      </c>
      <c r="H132">
        <v>1</v>
      </c>
    </row>
    <row r="133" spans="1:8" x14ac:dyDescent="0.45">
      <c r="A133">
        <v>1.9</v>
      </c>
      <c r="B133" t="s">
        <v>745</v>
      </c>
      <c r="C133">
        <v>401</v>
      </c>
      <c r="D133">
        <v>8</v>
      </c>
      <c r="E133" t="s">
        <v>5</v>
      </c>
      <c r="F133" t="s">
        <v>758</v>
      </c>
      <c r="H133">
        <v>1</v>
      </c>
    </row>
    <row r="134" spans="1:8" x14ac:dyDescent="0.45">
      <c r="A134">
        <v>1.9</v>
      </c>
      <c r="B134" t="s">
        <v>745</v>
      </c>
      <c r="C134">
        <v>401</v>
      </c>
      <c r="D134">
        <v>9</v>
      </c>
      <c r="E134" t="s">
        <v>5</v>
      </c>
      <c r="F134" t="s">
        <v>759</v>
      </c>
      <c r="H134">
        <v>1</v>
      </c>
    </row>
    <row r="135" spans="1:8" x14ac:dyDescent="0.45">
      <c r="A135">
        <v>1.9</v>
      </c>
      <c r="B135" t="s">
        <v>745</v>
      </c>
      <c r="C135">
        <v>401</v>
      </c>
      <c r="D135">
        <v>10</v>
      </c>
      <c r="E135" t="s">
        <v>7</v>
      </c>
      <c r="F135" t="s">
        <v>9</v>
      </c>
      <c r="H135">
        <v>1</v>
      </c>
    </row>
    <row r="136" spans="1:8" x14ac:dyDescent="0.45">
      <c r="A136">
        <v>1.9</v>
      </c>
      <c r="B136" t="s">
        <v>745</v>
      </c>
      <c r="C136">
        <v>401</v>
      </c>
      <c r="D136">
        <v>11</v>
      </c>
      <c r="E136" t="s">
        <v>5</v>
      </c>
      <c r="F136" t="s">
        <v>757</v>
      </c>
      <c r="H136">
        <v>1</v>
      </c>
    </row>
    <row r="137" spans="1:8" x14ac:dyDescent="0.45">
      <c r="A137">
        <v>1.9</v>
      </c>
      <c r="B137" t="s">
        <v>745</v>
      </c>
      <c r="C137">
        <v>401</v>
      </c>
      <c r="D137">
        <v>12</v>
      </c>
      <c r="E137" t="s">
        <v>5</v>
      </c>
      <c r="F137" t="s">
        <v>756</v>
      </c>
      <c r="H137">
        <v>1</v>
      </c>
    </row>
    <row r="138" spans="1:8" x14ac:dyDescent="0.45">
      <c r="A138">
        <v>1.9</v>
      </c>
      <c r="D138">
        <v>1</v>
      </c>
      <c r="H138">
        <v>1</v>
      </c>
    </row>
    <row r="139" spans="1:8" x14ac:dyDescent="0.45">
      <c r="A139">
        <v>1.9</v>
      </c>
      <c r="D139">
        <v>2</v>
      </c>
      <c r="H139">
        <v>1</v>
      </c>
    </row>
    <row r="140" spans="1:8" x14ac:dyDescent="0.45">
      <c r="A140">
        <v>1.9</v>
      </c>
      <c r="D140">
        <v>3</v>
      </c>
      <c r="H140">
        <v>1</v>
      </c>
    </row>
    <row r="141" spans="1:8" x14ac:dyDescent="0.45">
      <c r="A141">
        <v>1.9</v>
      </c>
      <c r="H141">
        <v>1</v>
      </c>
    </row>
    <row r="142" spans="1:8" x14ac:dyDescent="0.45">
      <c r="A142">
        <v>1.9</v>
      </c>
      <c r="H142">
        <v>1</v>
      </c>
    </row>
    <row r="143" spans="1:8" x14ac:dyDescent="0.45">
      <c r="A143">
        <v>1.9</v>
      </c>
      <c r="H143">
        <v>1</v>
      </c>
    </row>
    <row r="144" spans="1:8" x14ac:dyDescent="0.45">
      <c r="A144">
        <v>1.9</v>
      </c>
      <c r="H144">
        <v>1</v>
      </c>
    </row>
    <row r="145" spans="1:8" x14ac:dyDescent="0.45">
      <c r="A145">
        <v>1.9</v>
      </c>
      <c r="H145">
        <v>1</v>
      </c>
    </row>
    <row r="146" spans="1:8" x14ac:dyDescent="0.45">
      <c r="A146">
        <v>1.9</v>
      </c>
      <c r="H146">
        <v>1</v>
      </c>
    </row>
    <row r="147" spans="1:8" x14ac:dyDescent="0.45">
      <c r="A147">
        <v>1.9</v>
      </c>
      <c r="H147">
        <v>1</v>
      </c>
    </row>
    <row r="148" spans="1:8" x14ac:dyDescent="0.45">
      <c r="A148">
        <v>1.9</v>
      </c>
      <c r="H148">
        <v>1</v>
      </c>
    </row>
    <row r="149" spans="1:8" x14ac:dyDescent="0.45">
      <c r="A149">
        <v>1.9</v>
      </c>
      <c r="H149">
        <v>1</v>
      </c>
    </row>
    <row r="150" spans="1:8" x14ac:dyDescent="0.45">
      <c r="A150">
        <v>1.9</v>
      </c>
      <c r="H150">
        <v>1</v>
      </c>
    </row>
    <row r="151" spans="1:8" x14ac:dyDescent="0.45">
      <c r="A151">
        <v>1.9</v>
      </c>
      <c r="H151">
        <v>1</v>
      </c>
    </row>
    <row r="152" spans="1:8" x14ac:dyDescent="0.45">
      <c r="A152">
        <v>1.9</v>
      </c>
      <c r="H152">
        <v>1</v>
      </c>
    </row>
    <row r="153" spans="1:8" x14ac:dyDescent="0.45">
      <c r="A153">
        <v>1.9</v>
      </c>
      <c r="H153">
        <v>1</v>
      </c>
    </row>
    <row r="154" spans="1:8" x14ac:dyDescent="0.45">
      <c r="A154">
        <v>1.9</v>
      </c>
      <c r="H154">
        <v>1</v>
      </c>
    </row>
    <row r="155" spans="1:8" x14ac:dyDescent="0.45">
      <c r="A155">
        <v>1.9</v>
      </c>
      <c r="H155">
        <v>1</v>
      </c>
    </row>
    <row r="156" spans="1:8" x14ac:dyDescent="0.45">
      <c r="A156">
        <v>1.9</v>
      </c>
      <c r="H156">
        <v>1</v>
      </c>
    </row>
    <row r="157" spans="1:8" x14ac:dyDescent="0.45">
      <c r="A157">
        <v>1.9</v>
      </c>
      <c r="H157">
        <v>1</v>
      </c>
    </row>
    <row r="158" spans="1:8" x14ac:dyDescent="0.45">
      <c r="A158">
        <v>1.9</v>
      </c>
      <c r="H158">
        <v>1</v>
      </c>
    </row>
    <row r="159" spans="1:8" x14ac:dyDescent="0.45">
      <c r="A159">
        <v>1.9</v>
      </c>
      <c r="H159">
        <v>1</v>
      </c>
    </row>
    <row r="160" spans="1:8" x14ac:dyDescent="0.45">
      <c r="A160">
        <v>1.9</v>
      </c>
      <c r="H160">
        <v>1</v>
      </c>
    </row>
    <row r="161" spans="1:8" x14ac:dyDescent="0.45">
      <c r="A161">
        <v>1.9</v>
      </c>
      <c r="H161">
        <v>1</v>
      </c>
    </row>
    <row r="162" spans="1:8" x14ac:dyDescent="0.45">
      <c r="A162">
        <v>1.9</v>
      </c>
      <c r="H162">
        <v>1</v>
      </c>
    </row>
    <row r="163" spans="1:8" x14ac:dyDescent="0.45">
      <c r="A163">
        <v>1.9</v>
      </c>
      <c r="H163">
        <v>1</v>
      </c>
    </row>
    <row r="164" spans="1:8" x14ac:dyDescent="0.45">
      <c r="A164">
        <v>1.9</v>
      </c>
      <c r="H164">
        <v>1</v>
      </c>
    </row>
    <row r="165" spans="1:8" x14ac:dyDescent="0.45">
      <c r="A165">
        <v>1.9</v>
      </c>
      <c r="H165">
        <v>1</v>
      </c>
    </row>
    <row r="166" spans="1:8" x14ac:dyDescent="0.45">
      <c r="A166">
        <v>1.9</v>
      </c>
      <c r="H166">
        <v>1</v>
      </c>
    </row>
    <row r="167" spans="1:8" x14ac:dyDescent="0.45">
      <c r="A167">
        <v>1.9</v>
      </c>
      <c r="H167">
        <v>1</v>
      </c>
    </row>
    <row r="168" spans="1:8" x14ac:dyDescent="0.45">
      <c r="A168">
        <v>1.9</v>
      </c>
      <c r="H168">
        <v>1</v>
      </c>
    </row>
    <row r="169" spans="1:8" x14ac:dyDescent="0.45">
      <c r="A169">
        <v>1.9</v>
      </c>
      <c r="H169">
        <v>1</v>
      </c>
    </row>
    <row r="170" spans="1:8" x14ac:dyDescent="0.45">
      <c r="A170">
        <v>1.9</v>
      </c>
      <c r="H170">
        <v>1</v>
      </c>
    </row>
    <row r="171" spans="1:8" x14ac:dyDescent="0.45">
      <c r="A171">
        <v>1.9</v>
      </c>
      <c r="H171">
        <v>1</v>
      </c>
    </row>
    <row r="172" spans="1:8" x14ac:dyDescent="0.45">
      <c r="A172">
        <v>1.9</v>
      </c>
      <c r="H172">
        <v>1</v>
      </c>
    </row>
    <row r="173" spans="1:8" x14ac:dyDescent="0.45">
      <c r="A173">
        <v>1.9</v>
      </c>
      <c r="H173">
        <v>1</v>
      </c>
    </row>
    <row r="174" spans="1:8" x14ac:dyDescent="0.45">
      <c r="A174">
        <v>1.9</v>
      </c>
      <c r="H174">
        <v>1</v>
      </c>
    </row>
    <row r="175" spans="1:8" x14ac:dyDescent="0.45">
      <c r="A175">
        <v>1.9</v>
      </c>
      <c r="H175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0F35-92A8-4C2C-94BE-DC8653345B4B}">
  <dimension ref="A1:M188"/>
  <sheetViews>
    <sheetView workbookViewId="0">
      <pane ySplit="3" topLeftCell="A117" activePane="bottomLeft" state="frozen"/>
      <selection pane="bottomLeft" activeCell="G1" sqref="G1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1.8</v>
      </c>
      <c r="B2" t="s">
        <v>152</v>
      </c>
      <c r="C2">
        <v>1</v>
      </c>
      <c r="D2">
        <v>1</v>
      </c>
      <c r="E2" t="s">
        <v>7</v>
      </c>
      <c r="F2" t="s">
        <v>10</v>
      </c>
      <c r="H2">
        <v>1</v>
      </c>
      <c r="I2" t="s">
        <v>5</v>
      </c>
      <c r="J2">
        <f>COUNTIFS(E:E,"*F*",H:H,1)</f>
        <v>96</v>
      </c>
      <c r="K2">
        <f>J2+J3</f>
        <v>103</v>
      </c>
      <c r="L2">
        <f>J2/K2</f>
        <v>0.93203883495145634</v>
      </c>
      <c r="M2">
        <f>SQRT(L2*L3/K2)</f>
        <v>2.4798693414882229E-2</v>
      </c>
    </row>
    <row r="3" spans="1:13" x14ac:dyDescent="0.45">
      <c r="A3">
        <v>1.8</v>
      </c>
      <c r="B3" t="s">
        <v>152</v>
      </c>
      <c r="C3">
        <v>1</v>
      </c>
      <c r="D3">
        <v>2</v>
      </c>
      <c r="E3" t="s">
        <v>7</v>
      </c>
      <c r="F3" t="s">
        <v>11</v>
      </c>
      <c r="H3">
        <v>1</v>
      </c>
      <c r="I3" t="s">
        <v>18</v>
      </c>
      <c r="J3">
        <f>COUNTIFS(E:E,"*B*",H:H,1)</f>
        <v>7</v>
      </c>
      <c r="L3">
        <f>J3/K2</f>
        <v>6.7961165048543687E-2</v>
      </c>
    </row>
    <row r="4" spans="1:13" x14ac:dyDescent="0.45">
      <c r="A4">
        <v>1.8</v>
      </c>
      <c r="B4" t="s">
        <v>152</v>
      </c>
      <c r="C4">
        <v>1</v>
      </c>
      <c r="D4">
        <v>3</v>
      </c>
      <c r="E4" t="s">
        <v>7</v>
      </c>
      <c r="F4" t="s">
        <v>11</v>
      </c>
      <c r="H4">
        <v>1</v>
      </c>
      <c r="I4" t="s">
        <v>7</v>
      </c>
      <c r="J4">
        <f>COUNTIFS(E:E,"*U*",H:H,1)</f>
        <v>34</v>
      </c>
    </row>
    <row r="5" spans="1:13" x14ac:dyDescent="0.45">
      <c r="A5">
        <v>1.8</v>
      </c>
      <c r="B5" t="s">
        <v>152</v>
      </c>
      <c r="C5">
        <v>1</v>
      </c>
      <c r="D5">
        <v>4</v>
      </c>
      <c r="E5" t="s">
        <v>5</v>
      </c>
      <c r="F5" t="s">
        <v>108</v>
      </c>
      <c r="H5">
        <v>1</v>
      </c>
    </row>
    <row r="6" spans="1:13" x14ac:dyDescent="0.45">
      <c r="A6">
        <v>1.8</v>
      </c>
      <c r="B6" t="s">
        <v>152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1.8</v>
      </c>
      <c r="B7" t="s">
        <v>152</v>
      </c>
      <c r="C7">
        <v>1</v>
      </c>
      <c r="D7">
        <v>6</v>
      </c>
      <c r="E7" t="s">
        <v>18</v>
      </c>
      <c r="F7" t="s">
        <v>154</v>
      </c>
      <c r="H7">
        <v>1</v>
      </c>
    </row>
    <row r="8" spans="1:13" x14ac:dyDescent="0.45">
      <c r="A8">
        <v>1.8</v>
      </c>
      <c r="B8" t="s">
        <v>152</v>
      </c>
      <c r="C8">
        <v>1</v>
      </c>
      <c r="D8">
        <v>7</v>
      </c>
      <c r="E8" t="s">
        <v>5</v>
      </c>
      <c r="F8" t="s">
        <v>155</v>
      </c>
      <c r="H8">
        <v>1</v>
      </c>
    </row>
    <row r="9" spans="1:13" x14ac:dyDescent="0.45">
      <c r="A9">
        <v>1.8</v>
      </c>
      <c r="B9" t="s">
        <v>152</v>
      </c>
      <c r="C9">
        <v>1</v>
      </c>
      <c r="D9">
        <v>8</v>
      </c>
      <c r="E9" t="s">
        <v>7</v>
      </c>
      <c r="F9" t="s">
        <v>11</v>
      </c>
      <c r="H9">
        <v>1</v>
      </c>
    </row>
    <row r="10" spans="1:13" x14ac:dyDescent="0.45">
      <c r="A10">
        <v>1.8</v>
      </c>
      <c r="B10" t="s">
        <v>152</v>
      </c>
      <c r="C10">
        <v>1</v>
      </c>
      <c r="D10">
        <v>9</v>
      </c>
      <c r="E10" t="s">
        <v>5</v>
      </c>
      <c r="F10" t="s">
        <v>108</v>
      </c>
      <c r="H10">
        <v>1</v>
      </c>
    </row>
    <row r="11" spans="1:13" x14ac:dyDescent="0.45">
      <c r="A11">
        <v>1.8</v>
      </c>
      <c r="B11" t="s">
        <v>152</v>
      </c>
      <c r="C11">
        <v>1</v>
      </c>
      <c r="D11">
        <v>10</v>
      </c>
      <c r="E11" t="s">
        <v>5</v>
      </c>
      <c r="F11" t="s">
        <v>156</v>
      </c>
      <c r="H11">
        <v>1</v>
      </c>
    </row>
    <row r="12" spans="1:13" x14ac:dyDescent="0.45">
      <c r="A12">
        <v>1.8</v>
      </c>
      <c r="B12" t="s">
        <v>152</v>
      </c>
      <c r="C12">
        <v>401</v>
      </c>
      <c r="D12">
        <v>1</v>
      </c>
      <c r="E12" t="s">
        <v>7</v>
      </c>
      <c r="F12" t="s">
        <v>10</v>
      </c>
      <c r="H12">
        <v>1</v>
      </c>
    </row>
    <row r="13" spans="1:13" x14ac:dyDescent="0.45">
      <c r="A13">
        <v>1.8</v>
      </c>
      <c r="B13" t="s">
        <v>152</v>
      </c>
      <c r="C13">
        <v>401</v>
      </c>
      <c r="D13">
        <v>2</v>
      </c>
      <c r="E13" t="s">
        <v>5</v>
      </c>
      <c r="F13" t="s">
        <v>157</v>
      </c>
      <c r="H13">
        <v>1</v>
      </c>
    </row>
    <row r="14" spans="1:13" x14ac:dyDescent="0.45">
      <c r="A14">
        <v>1.8</v>
      </c>
      <c r="B14" t="s">
        <v>152</v>
      </c>
      <c r="C14">
        <v>401</v>
      </c>
      <c r="D14">
        <v>3</v>
      </c>
      <c r="E14" t="s">
        <v>5</v>
      </c>
      <c r="F14" t="s">
        <v>158</v>
      </c>
      <c r="H14">
        <v>1</v>
      </c>
    </row>
    <row r="15" spans="1:13" x14ac:dyDescent="0.45">
      <c r="A15">
        <v>1.8</v>
      </c>
      <c r="B15" t="s">
        <v>152</v>
      </c>
      <c r="C15">
        <v>401</v>
      </c>
      <c r="D15">
        <v>4</v>
      </c>
      <c r="E15" t="s">
        <v>5</v>
      </c>
      <c r="F15" t="s">
        <v>76</v>
      </c>
      <c r="H15">
        <v>1</v>
      </c>
    </row>
    <row r="16" spans="1:13" x14ac:dyDescent="0.45">
      <c r="A16">
        <v>1.8</v>
      </c>
      <c r="B16" t="s">
        <v>152</v>
      </c>
      <c r="C16">
        <v>401</v>
      </c>
      <c r="D16">
        <v>5</v>
      </c>
      <c r="E16" t="s">
        <v>5</v>
      </c>
      <c r="F16" t="s">
        <v>159</v>
      </c>
      <c r="H16">
        <v>1</v>
      </c>
    </row>
    <row r="17" spans="1:8" x14ac:dyDescent="0.45">
      <c r="A17">
        <v>1.8</v>
      </c>
      <c r="B17" t="s">
        <v>152</v>
      </c>
      <c r="C17">
        <v>401</v>
      </c>
      <c r="D17">
        <v>6</v>
      </c>
      <c r="E17" t="s">
        <v>5</v>
      </c>
      <c r="F17" t="s">
        <v>160</v>
      </c>
      <c r="H17">
        <v>1</v>
      </c>
    </row>
    <row r="18" spans="1:8" x14ac:dyDescent="0.45">
      <c r="A18">
        <v>1.8</v>
      </c>
      <c r="B18" t="s">
        <v>152</v>
      </c>
      <c r="C18">
        <v>401</v>
      </c>
      <c r="D18">
        <v>7</v>
      </c>
      <c r="E18" t="s">
        <v>5</v>
      </c>
      <c r="F18" t="s">
        <v>161</v>
      </c>
      <c r="H18">
        <v>1</v>
      </c>
    </row>
    <row r="19" spans="1:8" x14ac:dyDescent="0.45">
      <c r="A19">
        <v>1.8</v>
      </c>
      <c r="B19" t="s">
        <v>152</v>
      </c>
      <c r="C19">
        <v>401</v>
      </c>
      <c r="D19">
        <v>8</v>
      </c>
      <c r="E19" t="s">
        <v>7</v>
      </c>
      <c r="F19" t="s">
        <v>10</v>
      </c>
      <c r="H19">
        <v>1</v>
      </c>
    </row>
    <row r="20" spans="1:8" x14ac:dyDescent="0.45">
      <c r="A20">
        <v>1.8</v>
      </c>
      <c r="B20" t="s">
        <v>152</v>
      </c>
      <c r="C20">
        <v>401</v>
      </c>
      <c r="D20">
        <v>9</v>
      </c>
      <c r="E20" t="s">
        <v>5</v>
      </c>
      <c r="F20" t="s">
        <v>160</v>
      </c>
      <c r="H20">
        <v>1</v>
      </c>
    </row>
    <row r="21" spans="1:8" x14ac:dyDescent="0.45">
      <c r="A21">
        <v>1.8</v>
      </c>
      <c r="B21" t="s">
        <v>152</v>
      </c>
      <c r="C21">
        <v>801</v>
      </c>
      <c r="D21">
        <v>1</v>
      </c>
      <c r="E21" t="s">
        <v>5</v>
      </c>
      <c r="F21" t="s">
        <v>162</v>
      </c>
      <c r="H21">
        <v>1</v>
      </c>
    </row>
    <row r="22" spans="1:8" x14ac:dyDescent="0.45">
      <c r="A22">
        <v>1.8</v>
      </c>
      <c r="B22" t="s">
        <v>152</v>
      </c>
      <c r="C22">
        <v>801</v>
      </c>
      <c r="D22">
        <v>2</v>
      </c>
      <c r="E22" t="s">
        <v>5</v>
      </c>
      <c r="F22" t="s">
        <v>163</v>
      </c>
      <c r="H22">
        <v>1</v>
      </c>
    </row>
    <row r="23" spans="1:8" x14ac:dyDescent="0.45">
      <c r="A23">
        <v>1.8</v>
      </c>
      <c r="B23" t="s">
        <v>152</v>
      </c>
      <c r="C23">
        <v>801</v>
      </c>
      <c r="D23">
        <v>3</v>
      </c>
      <c r="E23" t="s">
        <v>5</v>
      </c>
      <c r="F23" t="s">
        <v>165</v>
      </c>
      <c r="G23" t="s">
        <v>171</v>
      </c>
      <c r="H23">
        <v>1</v>
      </c>
    </row>
    <row r="24" spans="1:8" x14ac:dyDescent="0.45">
      <c r="A24">
        <v>1.8</v>
      </c>
      <c r="B24" t="s">
        <v>152</v>
      </c>
      <c r="C24">
        <v>801</v>
      </c>
      <c r="D24">
        <v>4</v>
      </c>
      <c r="E24" t="s">
        <v>7</v>
      </c>
      <c r="F24" t="s">
        <v>10</v>
      </c>
      <c r="H24">
        <v>1</v>
      </c>
    </row>
    <row r="25" spans="1:8" x14ac:dyDescent="0.45">
      <c r="A25">
        <v>1.8</v>
      </c>
      <c r="B25" t="s">
        <v>152</v>
      </c>
      <c r="C25">
        <v>801</v>
      </c>
      <c r="D25">
        <v>5</v>
      </c>
      <c r="E25" t="s">
        <v>5</v>
      </c>
      <c r="F25" t="s">
        <v>168</v>
      </c>
      <c r="H25">
        <v>1</v>
      </c>
    </row>
    <row r="26" spans="1:8" x14ac:dyDescent="0.45">
      <c r="A26">
        <v>1.8</v>
      </c>
      <c r="B26" t="s">
        <v>152</v>
      </c>
      <c r="C26">
        <v>801</v>
      </c>
      <c r="D26">
        <v>6</v>
      </c>
      <c r="E26" t="s">
        <v>5</v>
      </c>
      <c r="F26" t="s">
        <v>169</v>
      </c>
      <c r="H26">
        <v>1</v>
      </c>
    </row>
    <row r="27" spans="1:8" x14ac:dyDescent="0.45">
      <c r="A27">
        <v>1.8</v>
      </c>
      <c r="B27" t="s">
        <v>152</v>
      </c>
      <c r="C27">
        <v>801</v>
      </c>
      <c r="D27">
        <v>7</v>
      </c>
      <c r="E27" t="s">
        <v>5</v>
      </c>
      <c r="F27" t="s">
        <v>172</v>
      </c>
      <c r="H27">
        <v>1</v>
      </c>
    </row>
    <row r="28" spans="1:8" x14ac:dyDescent="0.45">
      <c r="A28">
        <v>1.8</v>
      </c>
      <c r="B28" t="s">
        <v>152</v>
      </c>
      <c r="C28">
        <v>801</v>
      </c>
      <c r="D28">
        <v>8</v>
      </c>
      <c r="E28" t="s">
        <v>5</v>
      </c>
      <c r="F28" t="s">
        <v>173</v>
      </c>
      <c r="H28">
        <v>1</v>
      </c>
    </row>
    <row r="29" spans="1:8" x14ac:dyDescent="0.45">
      <c r="A29">
        <v>1.8</v>
      </c>
      <c r="B29" t="s">
        <v>152</v>
      </c>
      <c r="C29">
        <v>801</v>
      </c>
      <c r="D29">
        <v>9</v>
      </c>
      <c r="E29" t="s">
        <v>7</v>
      </c>
      <c r="F29" t="s">
        <v>9</v>
      </c>
      <c r="H29">
        <v>1</v>
      </c>
    </row>
    <row r="30" spans="1:8" x14ac:dyDescent="0.45">
      <c r="A30">
        <v>1.8</v>
      </c>
      <c r="B30" t="s">
        <v>152</v>
      </c>
      <c r="C30">
        <v>801</v>
      </c>
      <c r="D30">
        <v>10</v>
      </c>
      <c r="E30" t="s">
        <v>5</v>
      </c>
      <c r="F30" t="s">
        <v>174</v>
      </c>
      <c r="H30">
        <v>1</v>
      </c>
    </row>
    <row r="31" spans="1:8" x14ac:dyDescent="0.45">
      <c r="A31">
        <v>1.8</v>
      </c>
      <c r="B31" t="s">
        <v>152</v>
      </c>
      <c r="C31">
        <v>801</v>
      </c>
      <c r="D31">
        <v>11</v>
      </c>
      <c r="E31" t="s">
        <v>5</v>
      </c>
      <c r="F31" t="s">
        <v>175</v>
      </c>
      <c r="H31">
        <v>1</v>
      </c>
    </row>
    <row r="32" spans="1:8" x14ac:dyDescent="0.45">
      <c r="A32">
        <v>1.8</v>
      </c>
      <c r="B32" t="s">
        <v>152</v>
      </c>
      <c r="C32">
        <v>801</v>
      </c>
      <c r="D32">
        <v>12</v>
      </c>
      <c r="E32" t="s">
        <v>5</v>
      </c>
      <c r="F32" t="s">
        <v>176</v>
      </c>
      <c r="H32">
        <v>1</v>
      </c>
    </row>
    <row r="33" spans="1:8" x14ac:dyDescent="0.45">
      <c r="A33">
        <v>1.8</v>
      </c>
      <c r="B33" t="s">
        <v>152</v>
      </c>
      <c r="C33">
        <v>1201</v>
      </c>
      <c r="D33">
        <v>1</v>
      </c>
      <c r="E33" t="s">
        <v>5</v>
      </c>
      <c r="F33" t="s">
        <v>177</v>
      </c>
      <c r="H33">
        <v>1</v>
      </c>
    </row>
    <row r="34" spans="1:8" x14ac:dyDescent="0.45">
      <c r="A34">
        <v>1.8</v>
      </c>
      <c r="B34" t="s">
        <v>152</v>
      </c>
      <c r="C34">
        <v>1201</v>
      </c>
      <c r="D34">
        <v>2</v>
      </c>
      <c r="E34" t="s">
        <v>5</v>
      </c>
      <c r="F34" t="s">
        <v>178</v>
      </c>
      <c r="H34">
        <v>1</v>
      </c>
    </row>
    <row r="35" spans="1:8" x14ac:dyDescent="0.45">
      <c r="A35">
        <v>1.8</v>
      </c>
      <c r="B35" t="s">
        <v>152</v>
      </c>
      <c r="C35">
        <v>1201</v>
      </c>
      <c r="D35">
        <v>3</v>
      </c>
      <c r="E35" t="s">
        <v>7</v>
      </c>
      <c r="F35" t="s">
        <v>10</v>
      </c>
      <c r="H35">
        <v>1</v>
      </c>
    </row>
    <row r="36" spans="1:8" x14ac:dyDescent="0.45">
      <c r="A36">
        <v>1.8</v>
      </c>
      <c r="B36" t="s">
        <v>152</v>
      </c>
      <c r="C36">
        <v>1201</v>
      </c>
      <c r="D36">
        <v>4</v>
      </c>
      <c r="E36" t="s">
        <v>5</v>
      </c>
      <c r="F36" t="s">
        <v>180</v>
      </c>
      <c r="H36">
        <v>1</v>
      </c>
    </row>
    <row r="37" spans="1:8" x14ac:dyDescent="0.45">
      <c r="A37">
        <v>1.8</v>
      </c>
      <c r="B37" t="s">
        <v>152</v>
      </c>
      <c r="C37">
        <v>1201</v>
      </c>
      <c r="D37">
        <v>5</v>
      </c>
      <c r="E37" t="s">
        <v>5</v>
      </c>
      <c r="F37" t="s">
        <v>181</v>
      </c>
      <c r="H37">
        <v>1</v>
      </c>
    </row>
    <row r="38" spans="1:8" x14ac:dyDescent="0.45">
      <c r="A38">
        <v>1.8</v>
      </c>
      <c r="B38" t="s">
        <v>152</v>
      </c>
      <c r="C38">
        <v>1201</v>
      </c>
      <c r="D38">
        <v>6</v>
      </c>
      <c r="E38" t="s">
        <v>5</v>
      </c>
      <c r="F38" t="s">
        <v>182</v>
      </c>
      <c r="H38">
        <v>1</v>
      </c>
    </row>
    <row r="39" spans="1:8" x14ac:dyDescent="0.45">
      <c r="A39">
        <v>1.8</v>
      </c>
      <c r="B39" t="s">
        <v>152</v>
      </c>
      <c r="C39">
        <v>1201</v>
      </c>
      <c r="D39">
        <v>7</v>
      </c>
      <c r="E39" t="s">
        <v>5</v>
      </c>
      <c r="F39" t="s">
        <v>183</v>
      </c>
      <c r="H39">
        <v>1</v>
      </c>
    </row>
    <row r="40" spans="1:8" x14ac:dyDescent="0.45">
      <c r="A40">
        <v>1.8</v>
      </c>
      <c r="B40" t="s">
        <v>152</v>
      </c>
      <c r="C40">
        <v>1201</v>
      </c>
      <c r="D40">
        <v>8</v>
      </c>
      <c r="E40" t="s">
        <v>5</v>
      </c>
      <c r="F40" t="s">
        <v>184</v>
      </c>
      <c r="H40">
        <v>1</v>
      </c>
    </row>
    <row r="41" spans="1:8" x14ac:dyDescent="0.45">
      <c r="A41">
        <v>1.8</v>
      </c>
      <c r="B41" t="s">
        <v>152</v>
      </c>
      <c r="C41">
        <v>1201</v>
      </c>
      <c r="D41">
        <v>9</v>
      </c>
      <c r="E41" t="s">
        <v>7</v>
      </c>
      <c r="F41" t="s">
        <v>10</v>
      </c>
      <c r="H41">
        <v>1</v>
      </c>
    </row>
    <row r="42" spans="1:8" x14ac:dyDescent="0.45">
      <c r="A42">
        <v>1.8</v>
      </c>
      <c r="B42" t="s">
        <v>152</v>
      </c>
      <c r="C42">
        <v>1201</v>
      </c>
      <c r="D42">
        <v>10</v>
      </c>
      <c r="E42" t="s">
        <v>5</v>
      </c>
      <c r="F42" t="s">
        <v>185</v>
      </c>
      <c r="H42">
        <v>1</v>
      </c>
    </row>
    <row r="43" spans="1:8" x14ac:dyDescent="0.45">
      <c r="A43">
        <v>1.8</v>
      </c>
      <c r="B43" t="s">
        <v>152</v>
      </c>
      <c r="C43">
        <v>1201</v>
      </c>
      <c r="D43">
        <v>11</v>
      </c>
      <c r="E43" t="s">
        <v>5</v>
      </c>
      <c r="F43" t="s">
        <v>178</v>
      </c>
      <c r="H43">
        <v>1</v>
      </c>
    </row>
    <row r="44" spans="1:8" x14ac:dyDescent="0.45">
      <c r="A44">
        <v>1.8</v>
      </c>
      <c r="B44" t="s">
        <v>152</v>
      </c>
      <c r="C44">
        <v>1201</v>
      </c>
      <c r="D44">
        <v>12</v>
      </c>
      <c r="E44" t="s">
        <v>7</v>
      </c>
      <c r="F44" t="s">
        <v>9</v>
      </c>
      <c r="H44">
        <v>1</v>
      </c>
    </row>
    <row r="45" spans="1:8" x14ac:dyDescent="0.45">
      <c r="A45">
        <v>1.8</v>
      </c>
      <c r="B45" t="s">
        <v>152</v>
      </c>
      <c r="C45">
        <v>1201</v>
      </c>
      <c r="D45">
        <v>13</v>
      </c>
      <c r="E45" t="s">
        <v>5</v>
      </c>
      <c r="F45" t="s">
        <v>186</v>
      </c>
      <c r="H45">
        <v>1</v>
      </c>
    </row>
    <row r="46" spans="1:8" x14ac:dyDescent="0.45">
      <c r="A46">
        <v>1.8</v>
      </c>
      <c r="B46" t="s">
        <v>152</v>
      </c>
      <c r="C46">
        <v>1201</v>
      </c>
      <c r="D46">
        <v>14</v>
      </c>
      <c r="E46" t="s">
        <v>5</v>
      </c>
      <c r="F46" t="s">
        <v>187</v>
      </c>
      <c r="G46" t="s">
        <v>171</v>
      </c>
      <c r="H46">
        <v>1</v>
      </c>
    </row>
    <row r="47" spans="1:8" x14ac:dyDescent="0.45">
      <c r="A47">
        <v>1.8</v>
      </c>
      <c r="B47" t="s">
        <v>152</v>
      </c>
      <c r="C47">
        <v>1201</v>
      </c>
      <c r="D47">
        <v>15</v>
      </c>
      <c r="E47" t="s">
        <v>5</v>
      </c>
      <c r="F47" t="s">
        <v>182</v>
      </c>
      <c r="H47">
        <v>1</v>
      </c>
    </row>
    <row r="48" spans="1:8" x14ac:dyDescent="0.45">
      <c r="A48">
        <v>1.8</v>
      </c>
      <c r="B48" t="s">
        <v>152</v>
      </c>
      <c r="C48">
        <v>1201</v>
      </c>
      <c r="D48">
        <v>16</v>
      </c>
      <c r="E48" t="s">
        <v>5</v>
      </c>
      <c r="F48" t="s">
        <v>188</v>
      </c>
      <c r="G48" t="s">
        <v>171</v>
      </c>
      <c r="H48">
        <v>1</v>
      </c>
    </row>
    <row r="49" spans="1:8" x14ac:dyDescent="0.45">
      <c r="A49">
        <v>1.8</v>
      </c>
      <c r="B49" t="s">
        <v>152</v>
      </c>
      <c r="C49">
        <v>1201</v>
      </c>
      <c r="D49">
        <v>17</v>
      </c>
      <c r="E49" t="s">
        <v>7</v>
      </c>
      <c r="F49" t="s">
        <v>9</v>
      </c>
      <c r="H49">
        <v>1</v>
      </c>
    </row>
    <row r="50" spans="1:8" x14ac:dyDescent="0.45">
      <c r="A50">
        <v>1.8</v>
      </c>
      <c r="B50" t="s">
        <v>152</v>
      </c>
      <c r="C50">
        <v>1201</v>
      </c>
      <c r="D50">
        <v>18</v>
      </c>
      <c r="E50" t="s">
        <v>5</v>
      </c>
      <c r="F50" t="s">
        <v>189</v>
      </c>
      <c r="H50">
        <v>1</v>
      </c>
    </row>
    <row r="51" spans="1:8" x14ac:dyDescent="0.45">
      <c r="A51">
        <v>1.8</v>
      </c>
      <c r="B51" t="s">
        <v>152</v>
      </c>
      <c r="C51">
        <v>1601</v>
      </c>
      <c r="D51">
        <v>1</v>
      </c>
      <c r="E51" t="s">
        <v>7</v>
      </c>
      <c r="F51" t="s">
        <v>9</v>
      </c>
      <c r="H51">
        <v>1</v>
      </c>
    </row>
    <row r="52" spans="1:8" x14ac:dyDescent="0.45">
      <c r="A52">
        <v>1.8</v>
      </c>
      <c r="B52" t="s">
        <v>152</v>
      </c>
      <c r="C52">
        <v>1601</v>
      </c>
      <c r="D52">
        <v>2</v>
      </c>
      <c r="E52" t="s">
        <v>5</v>
      </c>
      <c r="F52" t="s">
        <v>190</v>
      </c>
      <c r="H52">
        <v>1</v>
      </c>
    </row>
    <row r="53" spans="1:8" x14ac:dyDescent="0.45">
      <c r="A53">
        <v>1.8</v>
      </c>
      <c r="B53" t="s">
        <v>152</v>
      </c>
      <c r="C53">
        <v>1601</v>
      </c>
      <c r="D53">
        <v>3</v>
      </c>
      <c r="E53" t="s">
        <v>5</v>
      </c>
      <c r="F53" t="s">
        <v>191</v>
      </c>
      <c r="H53">
        <v>1</v>
      </c>
    </row>
    <row r="54" spans="1:8" x14ac:dyDescent="0.45">
      <c r="A54">
        <v>1.8</v>
      </c>
      <c r="B54" t="s">
        <v>152</v>
      </c>
      <c r="C54">
        <v>1601</v>
      </c>
      <c r="D54">
        <v>4</v>
      </c>
      <c r="E54" t="s">
        <v>5</v>
      </c>
      <c r="F54" t="s">
        <v>192</v>
      </c>
      <c r="H54">
        <v>1</v>
      </c>
    </row>
    <row r="55" spans="1:8" x14ac:dyDescent="0.45">
      <c r="A55">
        <v>1.8</v>
      </c>
      <c r="B55" t="s">
        <v>152</v>
      </c>
      <c r="C55">
        <v>1601</v>
      </c>
      <c r="D55">
        <v>5</v>
      </c>
      <c r="E55" t="s">
        <v>5</v>
      </c>
      <c r="F55" t="s">
        <v>193</v>
      </c>
      <c r="H55">
        <v>1</v>
      </c>
    </row>
    <row r="56" spans="1:8" x14ac:dyDescent="0.45">
      <c r="A56">
        <v>1.8</v>
      </c>
      <c r="B56" t="s">
        <v>152</v>
      </c>
      <c r="C56">
        <v>1601</v>
      </c>
      <c r="D56">
        <v>6</v>
      </c>
      <c r="E56" t="s">
        <v>5</v>
      </c>
      <c r="F56" t="s">
        <v>194</v>
      </c>
      <c r="H56">
        <v>1</v>
      </c>
    </row>
    <row r="57" spans="1:8" x14ac:dyDescent="0.45">
      <c r="A57">
        <v>1.8</v>
      </c>
      <c r="B57" t="s">
        <v>152</v>
      </c>
      <c r="C57">
        <v>1601</v>
      </c>
      <c r="D57">
        <v>7</v>
      </c>
      <c r="E57" t="s">
        <v>5</v>
      </c>
      <c r="F57" t="s">
        <v>195</v>
      </c>
      <c r="H57">
        <v>1</v>
      </c>
    </row>
    <row r="58" spans="1:8" x14ac:dyDescent="0.45">
      <c r="A58">
        <v>1.8</v>
      </c>
      <c r="B58" t="s">
        <v>152</v>
      </c>
      <c r="C58">
        <v>1601</v>
      </c>
      <c r="D58">
        <v>8</v>
      </c>
      <c r="E58" t="s">
        <v>5</v>
      </c>
      <c r="F58" t="s">
        <v>196</v>
      </c>
      <c r="H58">
        <v>1</v>
      </c>
    </row>
    <row r="59" spans="1:8" x14ac:dyDescent="0.45">
      <c r="A59">
        <v>1.8</v>
      </c>
      <c r="B59" t="s">
        <v>152</v>
      </c>
      <c r="C59">
        <v>1601</v>
      </c>
      <c r="D59">
        <v>9</v>
      </c>
      <c r="E59" t="s">
        <v>5</v>
      </c>
      <c r="F59" t="s">
        <v>197</v>
      </c>
      <c r="H59">
        <v>1</v>
      </c>
    </row>
    <row r="60" spans="1:8" x14ac:dyDescent="0.45">
      <c r="A60">
        <v>1.8</v>
      </c>
      <c r="B60" t="s">
        <v>152</v>
      </c>
      <c r="C60">
        <v>1601</v>
      </c>
      <c r="D60">
        <v>10</v>
      </c>
      <c r="E60" t="s">
        <v>5</v>
      </c>
      <c r="F60" t="s">
        <v>198</v>
      </c>
      <c r="H60">
        <v>1</v>
      </c>
    </row>
    <row r="61" spans="1:8" x14ac:dyDescent="0.45">
      <c r="A61">
        <v>1.8</v>
      </c>
      <c r="B61" t="s">
        <v>152</v>
      </c>
      <c r="C61">
        <v>1601</v>
      </c>
      <c r="D61">
        <v>11</v>
      </c>
      <c r="E61" t="s">
        <v>5</v>
      </c>
      <c r="F61" t="s">
        <v>199</v>
      </c>
      <c r="H61">
        <v>1</v>
      </c>
    </row>
    <row r="62" spans="1:8" x14ac:dyDescent="0.45">
      <c r="A62">
        <v>1.8</v>
      </c>
      <c r="B62" t="s">
        <v>152</v>
      </c>
      <c r="C62">
        <v>1601</v>
      </c>
      <c r="D62">
        <v>12</v>
      </c>
      <c r="E62" t="s">
        <v>5</v>
      </c>
      <c r="F62" t="s">
        <v>200</v>
      </c>
      <c r="H62">
        <v>1</v>
      </c>
    </row>
    <row r="63" spans="1:8" x14ac:dyDescent="0.45">
      <c r="A63">
        <v>1.8</v>
      </c>
      <c r="B63" t="s">
        <v>152</v>
      </c>
      <c r="C63">
        <v>1601</v>
      </c>
      <c r="D63">
        <v>13</v>
      </c>
      <c r="E63" t="s">
        <v>5</v>
      </c>
      <c r="F63" t="s">
        <v>201</v>
      </c>
      <c r="H63">
        <v>1</v>
      </c>
    </row>
    <row r="64" spans="1:8" x14ac:dyDescent="0.45">
      <c r="A64">
        <v>1.8</v>
      </c>
      <c r="B64" t="s">
        <v>152</v>
      </c>
      <c r="C64">
        <v>1601</v>
      </c>
      <c r="D64">
        <v>14</v>
      </c>
      <c r="E64" t="s">
        <v>7</v>
      </c>
      <c r="F64" t="s">
        <v>10</v>
      </c>
      <c r="H64">
        <v>1</v>
      </c>
    </row>
    <row r="65" spans="1:8" x14ac:dyDescent="0.45">
      <c r="A65">
        <v>1.8</v>
      </c>
      <c r="B65" t="s">
        <v>152</v>
      </c>
      <c r="C65">
        <v>1601</v>
      </c>
      <c r="D65">
        <v>15</v>
      </c>
      <c r="E65" t="s">
        <v>5</v>
      </c>
      <c r="F65" t="s">
        <v>202</v>
      </c>
      <c r="H65">
        <v>1</v>
      </c>
    </row>
    <row r="66" spans="1:8" x14ac:dyDescent="0.45">
      <c r="A66">
        <v>1.8</v>
      </c>
      <c r="B66" t="s">
        <v>152</v>
      </c>
      <c r="C66">
        <v>1601</v>
      </c>
      <c r="D66">
        <v>16</v>
      </c>
      <c r="E66" t="s">
        <v>5</v>
      </c>
      <c r="F66" t="s">
        <v>203</v>
      </c>
      <c r="H66">
        <v>1</v>
      </c>
    </row>
    <row r="67" spans="1:8" x14ac:dyDescent="0.45">
      <c r="A67">
        <v>1.8</v>
      </c>
      <c r="B67" t="s">
        <v>152</v>
      </c>
      <c r="C67">
        <v>1601</v>
      </c>
      <c r="D67">
        <v>17</v>
      </c>
      <c r="E67" t="s">
        <v>5</v>
      </c>
      <c r="F67" t="s">
        <v>198</v>
      </c>
      <c r="H67">
        <v>1</v>
      </c>
    </row>
    <row r="68" spans="1:8" x14ac:dyDescent="0.45">
      <c r="A68">
        <v>1.8</v>
      </c>
      <c r="B68" t="s">
        <v>152</v>
      </c>
      <c r="C68">
        <v>1601</v>
      </c>
      <c r="D68">
        <v>18</v>
      </c>
      <c r="E68" t="s">
        <v>5</v>
      </c>
      <c r="F68" t="s">
        <v>204</v>
      </c>
      <c r="H68">
        <v>1</v>
      </c>
    </row>
    <row r="69" spans="1:8" x14ac:dyDescent="0.45">
      <c r="A69">
        <v>1.8</v>
      </c>
      <c r="B69" t="s">
        <v>152</v>
      </c>
      <c r="C69">
        <v>1601</v>
      </c>
      <c r="D69">
        <v>19</v>
      </c>
      <c r="E69" t="s">
        <v>7</v>
      </c>
      <c r="F69" t="s">
        <v>10</v>
      </c>
      <c r="H69">
        <v>1</v>
      </c>
    </row>
    <row r="70" spans="1:8" x14ac:dyDescent="0.45">
      <c r="A70">
        <v>1.8</v>
      </c>
      <c r="B70" t="s">
        <v>541</v>
      </c>
      <c r="C70">
        <v>1601</v>
      </c>
      <c r="D70">
        <v>1</v>
      </c>
      <c r="E70" t="s">
        <v>5</v>
      </c>
      <c r="F70" t="s">
        <v>198</v>
      </c>
      <c r="H70">
        <v>1</v>
      </c>
    </row>
    <row r="71" spans="1:8" x14ac:dyDescent="0.45">
      <c r="A71">
        <v>1.8</v>
      </c>
      <c r="B71" t="s">
        <v>541</v>
      </c>
      <c r="C71">
        <v>1601</v>
      </c>
      <c r="D71">
        <v>2</v>
      </c>
      <c r="E71" t="s">
        <v>5</v>
      </c>
      <c r="F71" t="s">
        <v>712</v>
      </c>
      <c r="H71">
        <v>1</v>
      </c>
    </row>
    <row r="72" spans="1:8" x14ac:dyDescent="0.45">
      <c r="A72">
        <v>1.8</v>
      </c>
      <c r="B72" t="s">
        <v>541</v>
      </c>
      <c r="C72">
        <v>1601</v>
      </c>
      <c r="D72">
        <v>3</v>
      </c>
      <c r="E72" t="s">
        <v>5</v>
      </c>
      <c r="F72" t="s">
        <v>198</v>
      </c>
      <c r="G72" t="s">
        <v>171</v>
      </c>
      <c r="H72">
        <v>1</v>
      </c>
    </row>
    <row r="73" spans="1:8" x14ac:dyDescent="0.45">
      <c r="A73">
        <v>1.8</v>
      </c>
      <c r="B73" t="s">
        <v>541</v>
      </c>
      <c r="C73">
        <v>1601</v>
      </c>
      <c r="D73">
        <v>4</v>
      </c>
      <c r="E73" t="s">
        <v>7</v>
      </c>
      <c r="F73" t="s">
        <v>10</v>
      </c>
      <c r="H73">
        <v>1</v>
      </c>
    </row>
    <row r="74" spans="1:8" x14ac:dyDescent="0.45">
      <c r="A74">
        <v>1.8</v>
      </c>
      <c r="B74" t="s">
        <v>541</v>
      </c>
      <c r="C74">
        <v>1601</v>
      </c>
      <c r="D74">
        <v>5</v>
      </c>
      <c r="E74" t="s">
        <v>5</v>
      </c>
      <c r="F74" t="s">
        <v>590</v>
      </c>
      <c r="H74">
        <v>1</v>
      </c>
    </row>
    <row r="75" spans="1:8" x14ac:dyDescent="0.45">
      <c r="A75">
        <v>1.8</v>
      </c>
      <c r="B75" t="s">
        <v>541</v>
      </c>
      <c r="C75">
        <v>1601</v>
      </c>
      <c r="D75">
        <v>6</v>
      </c>
      <c r="E75" t="s">
        <v>5</v>
      </c>
      <c r="F75" t="s">
        <v>590</v>
      </c>
      <c r="H75">
        <v>1</v>
      </c>
    </row>
    <row r="76" spans="1:8" x14ac:dyDescent="0.45">
      <c r="A76">
        <v>1.8</v>
      </c>
      <c r="B76" t="s">
        <v>541</v>
      </c>
      <c r="C76">
        <v>1601</v>
      </c>
      <c r="D76">
        <v>7</v>
      </c>
      <c r="E76" t="s">
        <v>5</v>
      </c>
      <c r="F76" t="s">
        <v>267</v>
      </c>
      <c r="H76">
        <v>1</v>
      </c>
    </row>
    <row r="77" spans="1:8" x14ac:dyDescent="0.45">
      <c r="A77">
        <v>1.8</v>
      </c>
      <c r="B77" t="s">
        <v>541</v>
      </c>
      <c r="C77">
        <v>1601</v>
      </c>
      <c r="D77">
        <v>8</v>
      </c>
      <c r="E77" t="s">
        <v>5</v>
      </c>
      <c r="F77" t="s">
        <v>535</v>
      </c>
      <c r="G77" t="s">
        <v>171</v>
      </c>
      <c r="H77">
        <v>1</v>
      </c>
    </row>
    <row r="78" spans="1:8" x14ac:dyDescent="0.45">
      <c r="A78">
        <v>1.8</v>
      </c>
      <c r="B78" t="s">
        <v>541</v>
      </c>
      <c r="C78">
        <v>1601</v>
      </c>
      <c r="D78">
        <v>9</v>
      </c>
      <c r="E78" t="s">
        <v>7</v>
      </c>
      <c r="F78" t="s">
        <v>9</v>
      </c>
      <c r="H78">
        <v>1</v>
      </c>
    </row>
    <row r="79" spans="1:8" x14ac:dyDescent="0.45">
      <c r="A79">
        <v>1.8</v>
      </c>
      <c r="B79" t="s">
        <v>541</v>
      </c>
      <c r="C79">
        <v>1601</v>
      </c>
      <c r="D79">
        <v>10</v>
      </c>
      <c r="E79" t="s">
        <v>5</v>
      </c>
      <c r="F79" t="s">
        <v>201</v>
      </c>
      <c r="H79">
        <v>1</v>
      </c>
    </row>
    <row r="80" spans="1:8" x14ac:dyDescent="0.45">
      <c r="A80">
        <v>1.8</v>
      </c>
      <c r="B80" t="s">
        <v>541</v>
      </c>
      <c r="C80">
        <v>1201</v>
      </c>
      <c r="D80">
        <v>1</v>
      </c>
      <c r="E80" t="s">
        <v>5</v>
      </c>
      <c r="F80" t="s">
        <v>281</v>
      </c>
      <c r="G80" t="s">
        <v>171</v>
      </c>
      <c r="H80">
        <v>1</v>
      </c>
    </row>
    <row r="81" spans="1:8" x14ac:dyDescent="0.45">
      <c r="A81">
        <v>1.8</v>
      </c>
      <c r="B81" t="s">
        <v>541</v>
      </c>
      <c r="C81">
        <v>1201</v>
      </c>
      <c r="D81">
        <v>2</v>
      </c>
      <c r="E81" t="s">
        <v>5</v>
      </c>
      <c r="F81" t="s">
        <v>593</v>
      </c>
      <c r="H81">
        <v>1</v>
      </c>
    </row>
    <row r="82" spans="1:8" x14ac:dyDescent="0.45">
      <c r="A82">
        <v>1.8</v>
      </c>
      <c r="B82" t="s">
        <v>541</v>
      </c>
      <c r="C82">
        <v>1201</v>
      </c>
      <c r="D82">
        <v>3</v>
      </c>
      <c r="E82" t="s">
        <v>18</v>
      </c>
      <c r="F82" t="s">
        <v>713</v>
      </c>
      <c r="H82">
        <v>1</v>
      </c>
    </row>
    <row r="83" spans="1:8" x14ac:dyDescent="0.45">
      <c r="A83">
        <v>1.8</v>
      </c>
      <c r="B83" t="s">
        <v>541</v>
      </c>
      <c r="C83">
        <v>1201</v>
      </c>
      <c r="D83">
        <v>4</v>
      </c>
      <c r="E83" t="s">
        <v>18</v>
      </c>
      <c r="F83" t="s">
        <v>56</v>
      </c>
      <c r="H83">
        <v>1</v>
      </c>
    </row>
    <row r="84" spans="1:8" x14ac:dyDescent="0.45">
      <c r="A84">
        <v>1.8</v>
      </c>
      <c r="B84" t="s">
        <v>541</v>
      </c>
      <c r="C84">
        <v>1201</v>
      </c>
      <c r="D84">
        <v>5</v>
      </c>
      <c r="E84" t="s">
        <v>7</v>
      </c>
      <c r="F84" t="s">
        <v>9</v>
      </c>
      <c r="H84">
        <v>1</v>
      </c>
    </row>
    <row r="85" spans="1:8" x14ac:dyDescent="0.45">
      <c r="A85">
        <v>1.8</v>
      </c>
      <c r="B85" t="s">
        <v>541</v>
      </c>
      <c r="C85">
        <v>1201</v>
      </c>
      <c r="D85">
        <v>6</v>
      </c>
      <c r="E85" t="s">
        <v>18</v>
      </c>
      <c r="F85" t="s">
        <v>714</v>
      </c>
      <c r="G85" t="s">
        <v>171</v>
      </c>
      <c r="H85">
        <v>1</v>
      </c>
    </row>
    <row r="86" spans="1:8" x14ac:dyDescent="0.45">
      <c r="A86">
        <v>1.8</v>
      </c>
      <c r="B86" t="s">
        <v>541</v>
      </c>
      <c r="C86">
        <v>1201</v>
      </c>
      <c r="D86">
        <v>7</v>
      </c>
      <c r="E86" t="s">
        <v>5</v>
      </c>
      <c r="F86" t="s">
        <v>60</v>
      </c>
      <c r="H86">
        <v>1</v>
      </c>
    </row>
    <row r="87" spans="1:8" x14ac:dyDescent="0.45">
      <c r="A87">
        <v>1.8</v>
      </c>
      <c r="B87" t="s">
        <v>541</v>
      </c>
      <c r="C87">
        <v>1201</v>
      </c>
      <c r="D87">
        <v>8</v>
      </c>
      <c r="E87" t="s">
        <v>5</v>
      </c>
      <c r="F87" t="s">
        <v>52</v>
      </c>
      <c r="G87" t="s">
        <v>171</v>
      </c>
      <c r="H87">
        <v>1</v>
      </c>
    </row>
    <row r="88" spans="1:8" x14ac:dyDescent="0.45">
      <c r="A88">
        <v>1.8</v>
      </c>
      <c r="B88" t="s">
        <v>541</v>
      </c>
      <c r="C88">
        <v>1201</v>
      </c>
      <c r="D88">
        <v>9</v>
      </c>
      <c r="E88" t="s">
        <v>7</v>
      </c>
      <c r="F88" t="s">
        <v>9</v>
      </c>
      <c r="H88">
        <v>1</v>
      </c>
    </row>
    <row r="89" spans="1:8" x14ac:dyDescent="0.45">
      <c r="A89">
        <v>1.8</v>
      </c>
      <c r="B89" t="s">
        <v>541</v>
      </c>
      <c r="C89">
        <v>1201</v>
      </c>
      <c r="D89">
        <v>10</v>
      </c>
      <c r="E89" t="s">
        <v>5</v>
      </c>
      <c r="F89" t="s">
        <v>556</v>
      </c>
      <c r="H89">
        <v>1</v>
      </c>
    </row>
    <row r="90" spans="1:8" x14ac:dyDescent="0.45">
      <c r="A90">
        <v>1.8</v>
      </c>
      <c r="B90" t="s">
        <v>541</v>
      </c>
      <c r="C90">
        <v>1201</v>
      </c>
      <c r="D90">
        <v>11</v>
      </c>
      <c r="E90" t="s">
        <v>7</v>
      </c>
      <c r="F90" t="s">
        <v>10</v>
      </c>
      <c r="H90">
        <v>1</v>
      </c>
    </row>
    <row r="91" spans="1:8" x14ac:dyDescent="0.45">
      <c r="A91">
        <v>1.8</v>
      </c>
      <c r="B91" t="s">
        <v>541</v>
      </c>
      <c r="C91">
        <v>1201</v>
      </c>
      <c r="D91">
        <v>12</v>
      </c>
      <c r="E91" t="s">
        <v>7</v>
      </c>
      <c r="F91" t="s">
        <v>9</v>
      </c>
      <c r="H91">
        <v>1</v>
      </c>
    </row>
    <row r="92" spans="1:8" x14ac:dyDescent="0.45">
      <c r="A92">
        <v>1.8</v>
      </c>
      <c r="B92" t="s">
        <v>541</v>
      </c>
      <c r="C92">
        <v>1201</v>
      </c>
      <c r="D92">
        <v>13</v>
      </c>
      <c r="E92" t="s">
        <v>5</v>
      </c>
      <c r="F92" t="s">
        <v>419</v>
      </c>
      <c r="H92">
        <v>1</v>
      </c>
    </row>
    <row r="93" spans="1:8" x14ac:dyDescent="0.45">
      <c r="A93">
        <v>1.8</v>
      </c>
      <c r="B93" t="s">
        <v>541</v>
      </c>
      <c r="C93">
        <v>1201</v>
      </c>
      <c r="D93">
        <v>14</v>
      </c>
      <c r="E93" t="s">
        <v>7</v>
      </c>
      <c r="F93" t="s">
        <v>9</v>
      </c>
      <c r="H93">
        <v>1</v>
      </c>
    </row>
    <row r="94" spans="1:8" x14ac:dyDescent="0.45">
      <c r="A94">
        <v>1.8</v>
      </c>
      <c r="B94" t="s">
        <v>541</v>
      </c>
      <c r="C94">
        <v>1201</v>
      </c>
      <c r="D94">
        <v>15</v>
      </c>
      <c r="E94" t="s">
        <v>18</v>
      </c>
      <c r="F94" t="s">
        <v>300</v>
      </c>
      <c r="H94">
        <v>1</v>
      </c>
    </row>
    <row r="95" spans="1:8" x14ac:dyDescent="0.45">
      <c r="A95">
        <v>1.8</v>
      </c>
      <c r="B95" t="s">
        <v>541</v>
      </c>
      <c r="C95">
        <v>1201</v>
      </c>
      <c r="D95">
        <v>16</v>
      </c>
      <c r="E95" t="s">
        <v>7</v>
      </c>
      <c r="F95" t="s">
        <v>9</v>
      </c>
      <c r="H95">
        <v>1</v>
      </c>
    </row>
    <row r="96" spans="1:8" x14ac:dyDescent="0.45">
      <c r="A96">
        <v>1.8</v>
      </c>
      <c r="B96" t="s">
        <v>541</v>
      </c>
      <c r="C96">
        <v>1201</v>
      </c>
      <c r="D96">
        <v>17</v>
      </c>
      <c r="E96" t="s">
        <v>5</v>
      </c>
      <c r="F96" t="s">
        <v>715</v>
      </c>
      <c r="H96">
        <v>1</v>
      </c>
    </row>
    <row r="97" spans="1:8" x14ac:dyDescent="0.45">
      <c r="A97">
        <v>1.8</v>
      </c>
      <c r="B97" t="s">
        <v>541</v>
      </c>
      <c r="C97">
        <v>1201</v>
      </c>
      <c r="D97">
        <v>18</v>
      </c>
      <c r="E97" t="s">
        <v>7</v>
      </c>
      <c r="F97" t="s">
        <v>9</v>
      </c>
      <c r="H97">
        <v>1</v>
      </c>
    </row>
    <row r="98" spans="1:8" x14ac:dyDescent="0.45">
      <c r="A98">
        <v>1.8</v>
      </c>
      <c r="B98" t="s">
        <v>541</v>
      </c>
      <c r="C98">
        <v>801</v>
      </c>
      <c r="D98">
        <v>1</v>
      </c>
      <c r="E98" t="s">
        <v>5</v>
      </c>
      <c r="F98" t="s">
        <v>166</v>
      </c>
      <c r="H98">
        <v>1</v>
      </c>
    </row>
    <row r="99" spans="1:8" x14ac:dyDescent="0.45">
      <c r="A99">
        <v>1.8</v>
      </c>
      <c r="B99" t="s">
        <v>541</v>
      </c>
      <c r="C99">
        <v>801</v>
      </c>
      <c r="D99">
        <v>2</v>
      </c>
      <c r="E99" t="s">
        <v>5</v>
      </c>
      <c r="F99" t="s">
        <v>720</v>
      </c>
      <c r="H99">
        <v>1</v>
      </c>
    </row>
    <row r="100" spans="1:8" x14ac:dyDescent="0.45">
      <c r="A100">
        <v>1.8</v>
      </c>
      <c r="B100" t="s">
        <v>541</v>
      </c>
      <c r="C100">
        <v>801</v>
      </c>
      <c r="D100">
        <v>3</v>
      </c>
      <c r="E100" t="s">
        <v>18</v>
      </c>
      <c r="F100" t="s">
        <v>721</v>
      </c>
      <c r="H100">
        <v>1</v>
      </c>
    </row>
    <row r="101" spans="1:8" x14ac:dyDescent="0.45">
      <c r="A101">
        <v>1.8</v>
      </c>
      <c r="B101" t="s">
        <v>541</v>
      </c>
      <c r="C101">
        <v>801</v>
      </c>
      <c r="D101">
        <v>4</v>
      </c>
      <c r="E101" t="s">
        <v>5</v>
      </c>
      <c r="F101" t="s">
        <v>718</v>
      </c>
      <c r="G101" t="s">
        <v>171</v>
      </c>
      <c r="H101">
        <v>1</v>
      </c>
    </row>
    <row r="102" spans="1:8" x14ac:dyDescent="0.45">
      <c r="A102">
        <v>1.8</v>
      </c>
      <c r="B102" t="s">
        <v>541</v>
      </c>
      <c r="C102">
        <v>801</v>
      </c>
      <c r="D102">
        <v>5</v>
      </c>
      <c r="E102" t="s">
        <v>5</v>
      </c>
      <c r="F102" t="s">
        <v>719</v>
      </c>
      <c r="H102">
        <v>1</v>
      </c>
    </row>
    <row r="103" spans="1:8" x14ac:dyDescent="0.45">
      <c r="A103">
        <v>1.8</v>
      </c>
      <c r="B103" t="s">
        <v>541</v>
      </c>
      <c r="C103">
        <v>801</v>
      </c>
      <c r="D103">
        <v>6</v>
      </c>
      <c r="E103" t="s">
        <v>5</v>
      </c>
      <c r="F103" t="s">
        <v>220</v>
      </c>
      <c r="H103">
        <v>1</v>
      </c>
    </row>
    <row r="104" spans="1:8" x14ac:dyDescent="0.45">
      <c r="A104">
        <v>1.8</v>
      </c>
      <c r="B104" t="s">
        <v>541</v>
      </c>
      <c r="C104">
        <v>801</v>
      </c>
      <c r="D104">
        <v>7</v>
      </c>
      <c r="E104" t="s">
        <v>5</v>
      </c>
      <c r="F104" t="s">
        <v>324</v>
      </c>
      <c r="G104" t="s">
        <v>171</v>
      </c>
      <c r="H104">
        <v>1</v>
      </c>
    </row>
    <row r="105" spans="1:8" x14ac:dyDescent="0.45">
      <c r="A105">
        <v>1.8</v>
      </c>
      <c r="B105" t="s">
        <v>541</v>
      </c>
      <c r="C105">
        <v>801</v>
      </c>
      <c r="D105">
        <v>8</v>
      </c>
      <c r="E105" t="s">
        <v>5</v>
      </c>
      <c r="F105" t="s">
        <v>716</v>
      </c>
      <c r="H105">
        <v>1</v>
      </c>
    </row>
    <row r="106" spans="1:8" x14ac:dyDescent="0.45">
      <c r="A106">
        <v>1.8</v>
      </c>
      <c r="B106" t="s">
        <v>541</v>
      </c>
      <c r="C106">
        <v>801</v>
      </c>
      <c r="D106">
        <v>9</v>
      </c>
      <c r="E106" t="s">
        <v>5</v>
      </c>
      <c r="F106" t="s">
        <v>717</v>
      </c>
      <c r="H106">
        <v>1</v>
      </c>
    </row>
    <row r="107" spans="1:8" x14ac:dyDescent="0.45">
      <c r="A107">
        <v>1.8</v>
      </c>
      <c r="B107" t="s">
        <v>541</v>
      </c>
      <c r="C107">
        <v>801</v>
      </c>
      <c r="D107">
        <v>10</v>
      </c>
      <c r="E107" t="s">
        <v>7</v>
      </c>
      <c r="F107" t="s">
        <v>9</v>
      </c>
      <c r="H107">
        <v>1</v>
      </c>
    </row>
    <row r="108" spans="1:8" x14ac:dyDescent="0.45">
      <c r="A108">
        <v>1.8</v>
      </c>
      <c r="B108" t="s">
        <v>541</v>
      </c>
      <c r="C108">
        <v>801</v>
      </c>
      <c r="D108">
        <v>11</v>
      </c>
      <c r="E108" t="s">
        <v>7</v>
      </c>
      <c r="F108" t="s">
        <v>9</v>
      </c>
      <c r="H108">
        <v>1</v>
      </c>
    </row>
    <row r="109" spans="1:8" x14ac:dyDescent="0.45">
      <c r="A109">
        <v>1.8</v>
      </c>
      <c r="B109" t="s">
        <v>541</v>
      </c>
      <c r="C109">
        <v>801</v>
      </c>
      <c r="D109">
        <v>12</v>
      </c>
      <c r="E109" t="s">
        <v>5</v>
      </c>
      <c r="F109" t="s">
        <v>508</v>
      </c>
      <c r="G109" t="s">
        <v>171</v>
      </c>
      <c r="H109">
        <v>1</v>
      </c>
    </row>
    <row r="110" spans="1:8" x14ac:dyDescent="0.45">
      <c r="A110">
        <v>1.8</v>
      </c>
      <c r="B110" t="s">
        <v>541</v>
      </c>
      <c r="C110">
        <v>401</v>
      </c>
      <c r="D110">
        <v>1</v>
      </c>
      <c r="E110" t="s">
        <v>5</v>
      </c>
      <c r="F110" t="s">
        <v>722</v>
      </c>
      <c r="H110">
        <v>1</v>
      </c>
    </row>
    <row r="111" spans="1:8" x14ac:dyDescent="0.45">
      <c r="A111">
        <v>1.8</v>
      </c>
      <c r="B111" t="s">
        <v>541</v>
      </c>
      <c r="C111">
        <v>401</v>
      </c>
      <c r="D111">
        <v>2</v>
      </c>
      <c r="E111" t="s">
        <v>5</v>
      </c>
      <c r="F111" t="s">
        <v>675</v>
      </c>
      <c r="H111">
        <v>1</v>
      </c>
    </row>
    <row r="112" spans="1:8" x14ac:dyDescent="0.45">
      <c r="A112">
        <v>1.8</v>
      </c>
      <c r="B112" t="s">
        <v>541</v>
      </c>
      <c r="C112">
        <v>401</v>
      </c>
      <c r="D112">
        <v>3</v>
      </c>
      <c r="E112" t="s">
        <v>5</v>
      </c>
      <c r="F112" t="s">
        <v>33</v>
      </c>
      <c r="H112">
        <v>1</v>
      </c>
    </row>
    <row r="113" spans="1:8" x14ac:dyDescent="0.45">
      <c r="A113">
        <v>1.8</v>
      </c>
      <c r="B113" t="s">
        <v>541</v>
      </c>
      <c r="C113">
        <v>401</v>
      </c>
      <c r="D113">
        <v>4</v>
      </c>
      <c r="E113" t="s">
        <v>5</v>
      </c>
      <c r="F113" t="s">
        <v>723</v>
      </c>
      <c r="G113" t="s">
        <v>171</v>
      </c>
      <c r="H113">
        <v>1</v>
      </c>
    </row>
    <row r="114" spans="1:8" x14ac:dyDescent="0.45">
      <c r="A114">
        <v>1.8</v>
      </c>
      <c r="B114" t="s">
        <v>541</v>
      </c>
      <c r="C114">
        <v>401</v>
      </c>
      <c r="D114">
        <v>5</v>
      </c>
      <c r="E114" t="s">
        <v>5</v>
      </c>
      <c r="F114" t="s">
        <v>726</v>
      </c>
      <c r="H114">
        <v>1</v>
      </c>
    </row>
    <row r="115" spans="1:8" x14ac:dyDescent="0.45">
      <c r="A115">
        <v>1.8</v>
      </c>
      <c r="B115" t="s">
        <v>541</v>
      </c>
      <c r="C115">
        <v>401</v>
      </c>
      <c r="D115">
        <v>6</v>
      </c>
      <c r="E115" t="s">
        <v>5</v>
      </c>
      <c r="F115" t="s">
        <v>247</v>
      </c>
      <c r="H115">
        <v>1</v>
      </c>
    </row>
    <row r="116" spans="1:8" x14ac:dyDescent="0.45">
      <c r="A116">
        <v>1.8</v>
      </c>
      <c r="B116" t="s">
        <v>541</v>
      </c>
      <c r="C116">
        <v>401</v>
      </c>
      <c r="D116">
        <v>7</v>
      </c>
      <c r="E116" t="s">
        <v>5</v>
      </c>
      <c r="F116" t="s">
        <v>724</v>
      </c>
      <c r="H116">
        <v>1</v>
      </c>
    </row>
    <row r="117" spans="1:8" x14ac:dyDescent="0.45">
      <c r="A117">
        <v>1.8</v>
      </c>
      <c r="B117" t="s">
        <v>541</v>
      </c>
      <c r="C117">
        <v>401</v>
      </c>
      <c r="D117">
        <v>8</v>
      </c>
      <c r="E117" t="s">
        <v>5</v>
      </c>
      <c r="F117" t="s">
        <v>725</v>
      </c>
      <c r="H117">
        <v>1</v>
      </c>
    </row>
    <row r="118" spans="1:8" x14ac:dyDescent="0.45">
      <c r="A118">
        <v>1.8</v>
      </c>
      <c r="B118" t="s">
        <v>541</v>
      </c>
      <c r="C118">
        <v>401</v>
      </c>
      <c r="D118">
        <v>9</v>
      </c>
      <c r="E118" t="s">
        <v>5</v>
      </c>
      <c r="F118" t="s">
        <v>727</v>
      </c>
      <c r="H118">
        <v>1</v>
      </c>
    </row>
    <row r="119" spans="1:8" x14ac:dyDescent="0.45">
      <c r="A119">
        <v>1.8</v>
      </c>
      <c r="B119" t="s">
        <v>541</v>
      </c>
      <c r="C119">
        <v>401</v>
      </c>
      <c r="D119">
        <v>10</v>
      </c>
      <c r="E119" t="s">
        <v>5</v>
      </c>
      <c r="F119" t="s">
        <v>242</v>
      </c>
      <c r="H119">
        <v>1</v>
      </c>
    </row>
    <row r="120" spans="1:8" x14ac:dyDescent="0.45">
      <c r="A120">
        <v>1.8</v>
      </c>
      <c r="B120" t="s">
        <v>541</v>
      </c>
      <c r="C120">
        <v>401</v>
      </c>
      <c r="D120">
        <v>11</v>
      </c>
      <c r="E120" t="s">
        <v>7</v>
      </c>
      <c r="F120" t="s">
        <v>9</v>
      </c>
      <c r="H120">
        <v>1</v>
      </c>
    </row>
    <row r="121" spans="1:8" x14ac:dyDescent="0.45">
      <c r="A121">
        <v>1.8</v>
      </c>
      <c r="B121" t="s">
        <v>541</v>
      </c>
      <c r="C121">
        <v>401</v>
      </c>
      <c r="D121">
        <v>12</v>
      </c>
      <c r="E121" t="s">
        <v>7</v>
      </c>
      <c r="F121" t="s">
        <v>9</v>
      </c>
      <c r="H121">
        <v>1</v>
      </c>
    </row>
    <row r="122" spans="1:8" x14ac:dyDescent="0.45">
      <c r="A122">
        <v>1.8</v>
      </c>
      <c r="B122" t="s">
        <v>541</v>
      </c>
      <c r="C122">
        <v>401</v>
      </c>
      <c r="D122">
        <v>13</v>
      </c>
      <c r="E122" t="s">
        <v>5</v>
      </c>
      <c r="F122" t="s">
        <v>35</v>
      </c>
      <c r="H122">
        <v>1</v>
      </c>
    </row>
    <row r="123" spans="1:8" x14ac:dyDescent="0.45">
      <c r="A123">
        <v>1.8</v>
      </c>
      <c r="B123" t="s">
        <v>541</v>
      </c>
      <c r="C123">
        <v>401</v>
      </c>
      <c r="D123">
        <v>14</v>
      </c>
      <c r="E123" t="s">
        <v>5</v>
      </c>
      <c r="F123" t="s">
        <v>157</v>
      </c>
      <c r="H123">
        <v>1</v>
      </c>
    </row>
    <row r="124" spans="1:8" x14ac:dyDescent="0.45">
      <c r="A124">
        <v>1.8</v>
      </c>
      <c r="B124" t="s">
        <v>541</v>
      </c>
      <c r="C124">
        <v>1</v>
      </c>
      <c r="D124">
        <v>1</v>
      </c>
      <c r="E124" t="s">
        <v>7</v>
      </c>
      <c r="F124" t="s">
        <v>9</v>
      </c>
      <c r="H124">
        <v>1</v>
      </c>
    </row>
    <row r="125" spans="1:8" x14ac:dyDescent="0.45">
      <c r="A125">
        <v>1.8</v>
      </c>
      <c r="B125" t="s">
        <v>541</v>
      </c>
      <c r="C125">
        <v>1</v>
      </c>
      <c r="D125">
        <v>2</v>
      </c>
      <c r="E125" t="s">
        <v>5</v>
      </c>
      <c r="F125" t="s">
        <v>728</v>
      </c>
      <c r="G125" t="s">
        <v>171</v>
      </c>
      <c r="H125">
        <v>1</v>
      </c>
    </row>
    <row r="126" spans="1:8" x14ac:dyDescent="0.45">
      <c r="A126">
        <v>1.8</v>
      </c>
      <c r="B126" t="s">
        <v>541</v>
      </c>
      <c r="C126">
        <v>1</v>
      </c>
      <c r="D126">
        <v>3</v>
      </c>
      <c r="E126" t="s">
        <v>5</v>
      </c>
      <c r="F126" t="s">
        <v>729</v>
      </c>
      <c r="H126">
        <v>1</v>
      </c>
    </row>
    <row r="127" spans="1:8" x14ac:dyDescent="0.45">
      <c r="A127">
        <v>1.8</v>
      </c>
      <c r="B127" t="s">
        <v>541</v>
      </c>
      <c r="C127">
        <v>1</v>
      </c>
      <c r="D127">
        <v>4</v>
      </c>
      <c r="E127" t="s">
        <v>7</v>
      </c>
      <c r="F127" t="s">
        <v>11</v>
      </c>
      <c r="H127">
        <v>1</v>
      </c>
    </row>
    <row r="128" spans="1:8" x14ac:dyDescent="0.45">
      <c r="A128">
        <v>1.8</v>
      </c>
      <c r="B128" t="s">
        <v>541</v>
      </c>
      <c r="C128">
        <v>1</v>
      </c>
      <c r="D128">
        <v>5</v>
      </c>
      <c r="E128" t="s">
        <v>5</v>
      </c>
      <c r="F128" t="s">
        <v>314</v>
      </c>
      <c r="H128">
        <v>1</v>
      </c>
    </row>
    <row r="129" spans="1:8" x14ac:dyDescent="0.45">
      <c r="A129">
        <v>1.8</v>
      </c>
      <c r="B129" t="s">
        <v>541</v>
      </c>
      <c r="C129">
        <v>1</v>
      </c>
      <c r="D129">
        <v>6</v>
      </c>
      <c r="E129" t="s">
        <v>5</v>
      </c>
      <c r="F129" t="s">
        <v>208</v>
      </c>
      <c r="H129">
        <v>1</v>
      </c>
    </row>
    <row r="130" spans="1:8" x14ac:dyDescent="0.45">
      <c r="A130">
        <v>1.8</v>
      </c>
      <c r="B130" t="s">
        <v>541</v>
      </c>
      <c r="C130">
        <v>1</v>
      </c>
      <c r="D130">
        <v>7</v>
      </c>
      <c r="E130" t="s">
        <v>5</v>
      </c>
      <c r="F130" t="s">
        <v>208</v>
      </c>
      <c r="H130">
        <v>1</v>
      </c>
    </row>
    <row r="131" spans="1:8" x14ac:dyDescent="0.45">
      <c r="A131">
        <v>1.8</v>
      </c>
      <c r="B131" t="s">
        <v>541</v>
      </c>
      <c r="C131">
        <v>1</v>
      </c>
      <c r="D131">
        <v>8</v>
      </c>
      <c r="E131" t="s">
        <v>5</v>
      </c>
      <c r="F131" t="s">
        <v>105</v>
      </c>
      <c r="H131">
        <v>1</v>
      </c>
    </row>
    <row r="132" spans="1:8" x14ac:dyDescent="0.45">
      <c r="A132">
        <v>1.8</v>
      </c>
      <c r="B132" t="s">
        <v>541</v>
      </c>
      <c r="C132">
        <v>1</v>
      </c>
      <c r="D132">
        <v>9</v>
      </c>
      <c r="E132" t="s">
        <v>5</v>
      </c>
      <c r="F132" t="s">
        <v>24</v>
      </c>
      <c r="H132">
        <v>1</v>
      </c>
    </row>
    <row r="133" spans="1:8" x14ac:dyDescent="0.45">
      <c r="A133">
        <v>1.8</v>
      </c>
      <c r="B133" t="s">
        <v>541</v>
      </c>
      <c r="C133">
        <v>1</v>
      </c>
      <c r="D133">
        <v>10</v>
      </c>
      <c r="E133" t="s">
        <v>7</v>
      </c>
      <c r="F133" t="s">
        <v>9</v>
      </c>
      <c r="H133">
        <v>1</v>
      </c>
    </row>
    <row r="134" spans="1:8" x14ac:dyDescent="0.45">
      <c r="A134">
        <v>1.8</v>
      </c>
      <c r="B134" t="s">
        <v>541</v>
      </c>
      <c r="C134">
        <v>1</v>
      </c>
      <c r="D134">
        <v>11</v>
      </c>
      <c r="E134" t="s">
        <v>7</v>
      </c>
      <c r="F134" t="s">
        <v>9</v>
      </c>
      <c r="H134">
        <v>1</v>
      </c>
    </row>
    <row r="135" spans="1:8" x14ac:dyDescent="0.45">
      <c r="A135">
        <v>1.8</v>
      </c>
      <c r="B135" t="s">
        <v>541</v>
      </c>
      <c r="C135">
        <v>1</v>
      </c>
      <c r="D135">
        <v>12</v>
      </c>
      <c r="E135" t="s">
        <v>18</v>
      </c>
      <c r="F135" t="s">
        <v>730</v>
      </c>
      <c r="H135">
        <v>1</v>
      </c>
    </row>
    <row r="136" spans="1:8" x14ac:dyDescent="0.45">
      <c r="A136">
        <v>1.8</v>
      </c>
      <c r="B136" t="s">
        <v>541</v>
      </c>
      <c r="C136">
        <v>1</v>
      </c>
      <c r="D136">
        <v>13</v>
      </c>
      <c r="E136" t="s">
        <v>5</v>
      </c>
      <c r="F136" t="s">
        <v>731</v>
      </c>
      <c r="H136">
        <v>1</v>
      </c>
    </row>
    <row r="137" spans="1:8" x14ac:dyDescent="0.45">
      <c r="A137">
        <v>1.8</v>
      </c>
      <c r="B137" t="s">
        <v>541</v>
      </c>
      <c r="C137">
        <v>1</v>
      </c>
      <c r="D137">
        <v>14</v>
      </c>
      <c r="E137" t="s">
        <v>7</v>
      </c>
      <c r="F137" t="s">
        <v>9</v>
      </c>
      <c r="H137">
        <v>1</v>
      </c>
    </row>
    <row r="138" spans="1:8" x14ac:dyDescent="0.45">
      <c r="A138">
        <v>1.8</v>
      </c>
      <c r="B138" t="s">
        <v>541</v>
      </c>
      <c r="C138">
        <v>1</v>
      </c>
      <c r="D138">
        <v>15</v>
      </c>
      <c r="E138" t="s">
        <v>5</v>
      </c>
      <c r="F138" t="s">
        <v>321</v>
      </c>
      <c r="H138">
        <v>1</v>
      </c>
    </row>
    <row r="139" spans="1:8" x14ac:dyDescent="0.45">
      <c r="A139">
        <v>1.8</v>
      </c>
      <c r="D139">
        <v>1</v>
      </c>
      <c r="H139">
        <v>1</v>
      </c>
    </row>
    <row r="140" spans="1:8" x14ac:dyDescent="0.45">
      <c r="A140">
        <v>1.8</v>
      </c>
      <c r="D140">
        <v>2</v>
      </c>
      <c r="H140">
        <v>1</v>
      </c>
    </row>
    <row r="141" spans="1:8" x14ac:dyDescent="0.45">
      <c r="A141">
        <v>1.8</v>
      </c>
      <c r="D141">
        <v>3</v>
      </c>
      <c r="H141">
        <v>1</v>
      </c>
    </row>
    <row r="142" spans="1:8" x14ac:dyDescent="0.45">
      <c r="A142">
        <v>1.8</v>
      </c>
      <c r="D142">
        <v>4</v>
      </c>
      <c r="H142">
        <v>1</v>
      </c>
    </row>
    <row r="143" spans="1:8" x14ac:dyDescent="0.45">
      <c r="A143">
        <v>1.8</v>
      </c>
      <c r="D143">
        <v>5</v>
      </c>
      <c r="H143">
        <v>1</v>
      </c>
    </row>
    <row r="144" spans="1:8" x14ac:dyDescent="0.45">
      <c r="A144">
        <v>1.8</v>
      </c>
      <c r="D144">
        <v>6</v>
      </c>
      <c r="H144">
        <v>1</v>
      </c>
    </row>
    <row r="145" spans="1:8" x14ac:dyDescent="0.45">
      <c r="A145">
        <v>1.8</v>
      </c>
      <c r="D145">
        <v>7</v>
      </c>
      <c r="H145">
        <v>1</v>
      </c>
    </row>
    <row r="146" spans="1:8" x14ac:dyDescent="0.45">
      <c r="A146">
        <v>1.8</v>
      </c>
      <c r="D146">
        <v>8</v>
      </c>
      <c r="H146">
        <v>1</v>
      </c>
    </row>
    <row r="147" spans="1:8" x14ac:dyDescent="0.45">
      <c r="A147">
        <v>1.8</v>
      </c>
      <c r="D147">
        <v>9</v>
      </c>
      <c r="H147">
        <v>1</v>
      </c>
    </row>
    <row r="148" spans="1:8" x14ac:dyDescent="0.45">
      <c r="A148">
        <v>1.8</v>
      </c>
      <c r="D148">
        <v>10</v>
      </c>
      <c r="H148">
        <v>1</v>
      </c>
    </row>
    <row r="149" spans="1:8" x14ac:dyDescent="0.45">
      <c r="A149">
        <v>1.8</v>
      </c>
      <c r="D149">
        <v>11</v>
      </c>
      <c r="H149">
        <v>1</v>
      </c>
    </row>
    <row r="150" spans="1:8" x14ac:dyDescent="0.45">
      <c r="A150">
        <v>1.8</v>
      </c>
      <c r="H150">
        <v>1</v>
      </c>
    </row>
    <row r="151" spans="1:8" x14ac:dyDescent="0.45">
      <c r="A151">
        <v>1.8</v>
      </c>
      <c r="H151">
        <v>1</v>
      </c>
    </row>
    <row r="152" spans="1:8" x14ac:dyDescent="0.45">
      <c r="A152">
        <v>1.8</v>
      </c>
      <c r="H152">
        <v>1</v>
      </c>
    </row>
    <row r="153" spans="1:8" x14ac:dyDescent="0.45">
      <c r="A153">
        <v>1.8</v>
      </c>
      <c r="H153">
        <v>1</v>
      </c>
    </row>
    <row r="154" spans="1:8" x14ac:dyDescent="0.45">
      <c r="A154">
        <v>1.8</v>
      </c>
      <c r="H154">
        <v>1</v>
      </c>
    </row>
    <row r="155" spans="1:8" x14ac:dyDescent="0.45">
      <c r="A155">
        <v>1.8</v>
      </c>
      <c r="H155">
        <v>1</v>
      </c>
    </row>
    <row r="156" spans="1:8" x14ac:dyDescent="0.45">
      <c r="A156">
        <v>1.8</v>
      </c>
      <c r="H156">
        <v>1</v>
      </c>
    </row>
    <row r="157" spans="1:8" x14ac:dyDescent="0.45">
      <c r="A157">
        <v>1.8</v>
      </c>
      <c r="H157">
        <v>1</v>
      </c>
    </row>
    <row r="158" spans="1:8" x14ac:dyDescent="0.45">
      <c r="A158">
        <v>1.8</v>
      </c>
      <c r="H158">
        <v>1</v>
      </c>
    </row>
    <row r="159" spans="1:8" x14ac:dyDescent="0.45">
      <c r="A159">
        <v>1.8</v>
      </c>
      <c r="H159">
        <v>1</v>
      </c>
    </row>
    <row r="160" spans="1:8" x14ac:dyDescent="0.45">
      <c r="A160">
        <v>1.8</v>
      </c>
      <c r="H160">
        <v>1</v>
      </c>
    </row>
    <row r="161" spans="1:8" x14ac:dyDescent="0.45">
      <c r="A161">
        <v>1.8</v>
      </c>
      <c r="H161">
        <v>1</v>
      </c>
    </row>
    <row r="162" spans="1:8" x14ac:dyDescent="0.45">
      <c r="A162">
        <v>1.8</v>
      </c>
      <c r="H162">
        <v>1</v>
      </c>
    </row>
    <row r="163" spans="1:8" x14ac:dyDescent="0.45">
      <c r="A163">
        <v>1.8</v>
      </c>
      <c r="H163">
        <v>1</v>
      </c>
    </row>
    <row r="164" spans="1:8" x14ac:dyDescent="0.45">
      <c r="A164">
        <v>1.8</v>
      </c>
      <c r="H164">
        <v>1</v>
      </c>
    </row>
    <row r="165" spans="1:8" x14ac:dyDescent="0.45">
      <c r="A165">
        <v>1.8</v>
      </c>
      <c r="H165">
        <v>1</v>
      </c>
    </row>
    <row r="166" spans="1:8" x14ac:dyDescent="0.45">
      <c r="A166">
        <v>1.8</v>
      </c>
      <c r="H166">
        <v>1</v>
      </c>
    </row>
    <row r="167" spans="1:8" x14ac:dyDescent="0.45">
      <c r="A167">
        <v>1.8</v>
      </c>
      <c r="H167">
        <v>1</v>
      </c>
    </row>
    <row r="168" spans="1:8" x14ac:dyDescent="0.45">
      <c r="A168">
        <v>1.8</v>
      </c>
      <c r="H168">
        <v>1</v>
      </c>
    </row>
    <row r="169" spans="1:8" x14ac:dyDescent="0.45">
      <c r="A169">
        <v>1.8</v>
      </c>
      <c r="H169">
        <v>1</v>
      </c>
    </row>
    <row r="170" spans="1:8" x14ac:dyDescent="0.45">
      <c r="A170">
        <v>1.8</v>
      </c>
      <c r="H170">
        <v>1</v>
      </c>
    </row>
    <row r="171" spans="1:8" x14ac:dyDescent="0.45">
      <c r="A171">
        <v>1.8</v>
      </c>
      <c r="H171">
        <v>1</v>
      </c>
    </row>
    <row r="172" spans="1:8" x14ac:dyDescent="0.45">
      <c r="A172">
        <v>1.8</v>
      </c>
      <c r="H172">
        <v>1</v>
      </c>
    </row>
    <row r="173" spans="1:8" x14ac:dyDescent="0.45">
      <c r="A173">
        <v>1.8</v>
      </c>
      <c r="H173">
        <v>1</v>
      </c>
    </row>
    <row r="174" spans="1:8" x14ac:dyDescent="0.45">
      <c r="A174">
        <v>1.8</v>
      </c>
      <c r="H174">
        <v>1</v>
      </c>
    </row>
    <row r="175" spans="1:8" x14ac:dyDescent="0.45">
      <c r="A175">
        <v>1.8</v>
      </c>
      <c r="H175">
        <v>1</v>
      </c>
    </row>
    <row r="176" spans="1:8" x14ac:dyDescent="0.45">
      <c r="A176">
        <v>1.8</v>
      </c>
      <c r="H176">
        <v>1</v>
      </c>
    </row>
    <row r="177" spans="1:8" x14ac:dyDescent="0.45">
      <c r="A177">
        <v>1.8</v>
      </c>
      <c r="H177">
        <v>1</v>
      </c>
    </row>
    <row r="178" spans="1:8" x14ac:dyDescent="0.45">
      <c r="A178">
        <v>1.8</v>
      </c>
      <c r="H178">
        <v>1</v>
      </c>
    </row>
    <row r="179" spans="1:8" x14ac:dyDescent="0.45">
      <c r="A179">
        <v>1.8</v>
      </c>
      <c r="H179">
        <v>1</v>
      </c>
    </row>
    <row r="180" spans="1:8" x14ac:dyDescent="0.45">
      <c r="A180">
        <v>1.8</v>
      </c>
      <c r="H180">
        <v>1</v>
      </c>
    </row>
    <row r="181" spans="1:8" x14ac:dyDescent="0.45">
      <c r="A181">
        <v>1.8</v>
      </c>
      <c r="H181">
        <v>1</v>
      </c>
    </row>
    <row r="182" spans="1:8" x14ac:dyDescent="0.45">
      <c r="A182">
        <v>1.8</v>
      </c>
      <c r="H182">
        <v>1</v>
      </c>
    </row>
    <row r="183" spans="1:8" x14ac:dyDescent="0.45">
      <c r="A183">
        <v>1.8</v>
      </c>
      <c r="H183">
        <v>1</v>
      </c>
    </row>
    <row r="184" spans="1:8" x14ac:dyDescent="0.45">
      <c r="A184">
        <v>1.8</v>
      </c>
      <c r="H184">
        <v>1</v>
      </c>
    </row>
    <row r="185" spans="1:8" x14ac:dyDescent="0.45">
      <c r="A185">
        <v>1.8</v>
      </c>
      <c r="H185">
        <v>1</v>
      </c>
    </row>
    <row r="186" spans="1:8" x14ac:dyDescent="0.45">
      <c r="A186">
        <v>1.8</v>
      </c>
      <c r="H186">
        <v>1</v>
      </c>
    </row>
    <row r="187" spans="1:8" x14ac:dyDescent="0.45">
      <c r="A187">
        <v>1.8</v>
      </c>
      <c r="H187">
        <v>1</v>
      </c>
    </row>
    <row r="188" spans="1:8" x14ac:dyDescent="0.45">
      <c r="A188">
        <v>1.8</v>
      </c>
      <c r="H18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26DD-9D67-4F77-9BE4-D37834442EB1}">
  <dimension ref="A1:M225"/>
  <sheetViews>
    <sheetView workbookViewId="0">
      <pane ySplit="3" topLeftCell="A122" activePane="bottomLeft" state="frozen"/>
      <selection pane="bottomLeft" activeCell="F150" sqref="F150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1.7</v>
      </c>
      <c r="B2" t="s">
        <v>205</v>
      </c>
      <c r="C2">
        <v>1</v>
      </c>
      <c r="D2">
        <v>1</v>
      </c>
      <c r="E2" t="s">
        <v>5</v>
      </c>
      <c r="F2" t="s">
        <v>115</v>
      </c>
      <c r="H2">
        <v>1</v>
      </c>
      <c r="I2" t="s">
        <v>5</v>
      </c>
      <c r="J2">
        <f>COUNTIFS(E:E,"*F*",H:H,1)</f>
        <v>94</v>
      </c>
      <c r="K2">
        <f>J2+J3</f>
        <v>112</v>
      </c>
      <c r="L2">
        <f>J2/K2</f>
        <v>0.8392857142857143</v>
      </c>
      <c r="M2">
        <f>SQRT(L2*L3/K2)</f>
        <v>3.4703489439828553E-2</v>
      </c>
    </row>
    <row r="3" spans="1:13" x14ac:dyDescent="0.45">
      <c r="A3">
        <v>1.7</v>
      </c>
      <c r="B3" t="s">
        <v>205</v>
      </c>
      <c r="C3">
        <v>1</v>
      </c>
      <c r="D3">
        <v>2</v>
      </c>
      <c r="E3" t="s">
        <v>7</v>
      </c>
      <c r="F3" t="s">
        <v>11</v>
      </c>
      <c r="H3">
        <v>1</v>
      </c>
      <c r="I3" t="s">
        <v>18</v>
      </c>
      <c r="J3">
        <f>COUNTIFS(E:E,"*B*",H:H,1)</f>
        <v>18</v>
      </c>
      <c r="L3">
        <f>J3/K2</f>
        <v>0.16071428571428573</v>
      </c>
    </row>
    <row r="4" spans="1:13" x14ac:dyDescent="0.45">
      <c r="A4">
        <v>1.7</v>
      </c>
      <c r="B4" t="s">
        <v>205</v>
      </c>
      <c r="C4">
        <v>1</v>
      </c>
      <c r="D4">
        <v>3</v>
      </c>
      <c r="E4" t="s">
        <v>18</v>
      </c>
      <c r="F4" t="s">
        <v>206</v>
      </c>
      <c r="H4">
        <v>1</v>
      </c>
      <c r="I4" t="s">
        <v>7</v>
      </c>
      <c r="J4">
        <f>COUNTIFS(E:E,"*U*",H:H,1)</f>
        <v>35</v>
      </c>
    </row>
    <row r="5" spans="1:13" x14ac:dyDescent="0.45">
      <c r="A5">
        <v>1.7</v>
      </c>
      <c r="B5" t="s">
        <v>205</v>
      </c>
      <c r="C5">
        <v>1</v>
      </c>
      <c r="D5">
        <v>4</v>
      </c>
      <c r="E5" t="s">
        <v>5</v>
      </c>
      <c r="F5" t="s">
        <v>207</v>
      </c>
      <c r="H5">
        <v>1</v>
      </c>
    </row>
    <row r="6" spans="1:13" x14ac:dyDescent="0.45">
      <c r="A6">
        <v>1.7</v>
      </c>
      <c r="B6" t="s">
        <v>205</v>
      </c>
      <c r="C6">
        <v>1</v>
      </c>
      <c r="D6">
        <v>5</v>
      </c>
      <c r="E6" t="s">
        <v>5</v>
      </c>
      <c r="F6" t="s">
        <v>208</v>
      </c>
      <c r="H6">
        <v>1</v>
      </c>
    </row>
    <row r="7" spans="1:13" x14ac:dyDescent="0.45">
      <c r="A7">
        <v>1.7</v>
      </c>
      <c r="B7" t="s">
        <v>205</v>
      </c>
      <c r="C7">
        <v>1</v>
      </c>
      <c r="D7">
        <v>6</v>
      </c>
      <c r="E7" t="s">
        <v>5</v>
      </c>
      <c r="F7" t="s">
        <v>108</v>
      </c>
      <c r="H7">
        <v>1</v>
      </c>
    </row>
    <row r="8" spans="1:13" x14ac:dyDescent="0.45">
      <c r="A8">
        <v>1.7</v>
      </c>
      <c r="B8" t="s">
        <v>205</v>
      </c>
      <c r="C8">
        <v>1</v>
      </c>
      <c r="D8">
        <v>7</v>
      </c>
      <c r="E8" t="s">
        <v>5</v>
      </c>
      <c r="F8" t="s">
        <v>209</v>
      </c>
      <c r="H8">
        <v>1</v>
      </c>
    </row>
    <row r="9" spans="1:13" x14ac:dyDescent="0.45">
      <c r="A9">
        <v>1.7</v>
      </c>
      <c r="B9" t="s">
        <v>205</v>
      </c>
      <c r="C9">
        <v>1</v>
      </c>
      <c r="D9">
        <v>8</v>
      </c>
      <c r="E9" t="s">
        <v>18</v>
      </c>
      <c r="F9" t="s">
        <v>108</v>
      </c>
      <c r="H9">
        <v>1</v>
      </c>
    </row>
    <row r="10" spans="1:13" x14ac:dyDescent="0.45">
      <c r="A10">
        <v>1.7</v>
      </c>
      <c r="B10" t="s">
        <v>205</v>
      </c>
      <c r="C10">
        <v>1</v>
      </c>
      <c r="D10">
        <v>9</v>
      </c>
      <c r="E10" t="s">
        <v>7</v>
      </c>
      <c r="F10" t="s">
        <v>9</v>
      </c>
      <c r="H10">
        <v>1</v>
      </c>
    </row>
    <row r="11" spans="1:13" x14ac:dyDescent="0.45">
      <c r="A11">
        <v>1.7</v>
      </c>
      <c r="B11" t="s">
        <v>205</v>
      </c>
      <c r="C11">
        <v>401</v>
      </c>
      <c r="D11">
        <v>1</v>
      </c>
      <c r="E11" t="s">
        <v>5</v>
      </c>
      <c r="F11" t="s">
        <v>161</v>
      </c>
      <c r="H11">
        <v>1</v>
      </c>
    </row>
    <row r="12" spans="1:13" x14ac:dyDescent="0.45">
      <c r="A12">
        <v>1.7</v>
      </c>
      <c r="B12" t="s">
        <v>205</v>
      </c>
      <c r="C12">
        <v>401</v>
      </c>
      <c r="D12">
        <v>2</v>
      </c>
      <c r="E12" t="s">
        <v>5</v>
      </c>
      <c r="F12" t="s">
        <v>29</v>
      </c>
      <c r="H12">
        <v>1</v>
      </c>
    </row>
    <row r="13" spans="1:13" x14ac:dyDescent="0.45">
      <c r="A13">
        <v>1.7</v>
      </c>
      <c r="B13" t="s">
        <v>205</v>
      </c>
      <c r="C13">
        <v>401</v>
      </c>
      <c r="D13">
        <v>3</v>
      </c>
      <c r="E13" t="s">
        <v>5</v>
      </c>
      <c r="F13" t="s">
        <v>212</v>
      </c>
      <c r="H13">
        <v>1</v>
      </c>
    </row>
    <row r="14" spans="1:13" x14ac:dyDescent="0.45">
      <c r="A14">
        <v>1.7</v>
      </c>
      <c r="B14" t="s">
        <v>205</v>
      </c>
      <c r="C14">
        <v>401</v>
      </c>
      <c r="D14">
        <v>4</v>
      </c>
      <c r="E14" t="s">
        <v>5</v>
      </c>
      <c r="F14" t="s">
        <v>213</v>
      </c>
      <c r="G14" t="s">
        <v>171</v>
      </c>
      <c r="H14">
        <v>1</v>
      </c>
    </row>
    <row r="15" spans="1:13" x14ac:dyDescent="0.45">
      <c r="A15">
        <v>1.7</v>
      </c>
      <c r="B15" t="s">
        <v>205</v>
      </c>
      <c r="C15">
        <v>401</v>
      </c>
      <c r="D15">
        <v>5</v>
      </c>
      <c r="E15" t="s">
        <v>7</v>
      </c>
      <c r="F15" t="s">
        <v>9</v>
      </c>
      <c r="H15">
        <v>1</v>
      </c>
    </row>
    <row r="16" spans="1:13" x14ac:dyDescent="0.45">
      <c r="A16">
        <v>1.7</v>
      </c>
      <c r="B16" t="s">
        <v>205</v>
      </c>
      <c r="C16">
        <v>401</v>
      </c>
      <c r="D16">
        <v>6</v>
      </c>
      <c r="E16" t="s">
        <v>5</v>
      </c>
      <c r="F16" t="s">
        <v>214</v>
      </c>
      <c r="G16" t="s">
        <v>171</v>
      </c>
      <c r="H16">
        <v>1</v>
      </c>
    </row>
    <row r="17" spans="1:8" x14ac:dyDescent="0.45">
      <c r="A17">
        <v>1.7</v>
      </c>
      <c r="B17" t="s">
        <v>205</v>
      </c>
      <c r="C17">
        <v>401</v>
      </c>
      <c r="D17">
        <v>7</v>
      </c>
      <c r="E17" t="s">
        <v>18</v>
      </c>
      <c r="F17" t="s">
        <v>215</v>
      </c>
      <c r="H17">
        <v>1</v>
      </c>
    </row>
    <row r="18" spans="1:8" x14ac:dyDescent="0.45">
      <c r="A18">
        <v>1.7</v>
      </c>
      <c r="B18" t="s">
        <v>205</v>
      </c>
      <c r="C18">
        <v>401</v>
      </c>
      <c r="D18">
        <v>8</v>
      </c>
      <c r="E18" t="s">
        <v>5</v>
      </c>
      <c r="F18" t="s">
        <v>216</v>
      </c>
      <c r="H18">
        <v>1</v>
      </c>
    </row>
    <row r="19" spans="1:8" x14ac:dyDescent="0.45">
      <c r="A19">
        <v>1.7</v>
      </c>
      <c r="B19" t="s">
        <v>205</v>
      </c>
      <c r="C19">
        <v>401</v>
      </c>
      <c r="D19">
        <v>9</v>
      </c>
      <c r="E19" t="s">
        <v>7</v>
      </c>
      <c r="F19" t="s">
        <v>9</v>
      </c>
      <c r="H19">
        <v>1</v>
      </c>
    </row>
    <row r="20" spans="1:8" x14ac:dyDescent="0.45">
      <c r="A20">
        <v>1.7</v>
      </c>
      <c r="B20" t="s">
        <v>205</v>
      </c>
      <c r="C20">
        <v>801</v>
      </c>
      <c r="D20">
        <v>1</v>
      </c>
      <c r="E20" t="s">
        <v>5</v>
      </c>
      <c r="F20" t="s">
        <v>217</v>
      </c>
      <c r="H20">
        <v>1</v>
      </c>
    </row>
    <row r="21" spans="1:8" x14ac:dyDescent="0.45">
      <c r="A21">
        <v>1.7</v>
      </c>
      <c r="B21" t="s">
        <v>205</v>
      </c>
      <c r="C21">
        <v>801</v>
      </c>
      <c r="D21">
        <v>2</v>
      </c>
      <c r="E21" t="s">
        <v>7</v>
      </c>
      <c r="F21" t="s">
        <v>10</v>
      </c>
      <c r="H21">
        <v>1</v>
      </c>
    </row>
    <row r="22" spans="1:8" x14ac:dyDescent="0.45">
      <c r="A22">
        <v>1.7</v>
      </c>
      <c r="B22" t="s">
        <v>205</v>
      </c>
      <c r="C22">
        <v>801</v>
      </c>
      <c r="D22">
        <v>3</v>
      </c>
      <c r="E22" t="s">
        <v>7</v>
      </c>
      <c r="F22" t="s">
        <v>10</v>
      </c>
      <c r="H22">
        <v>1</v>
      </c>
    </row>
    <row r="23" spans="1:8" x14ac:dyDescent="0.45">
      <c r="A23">
        <v>1.7</v>
      </c>
      <c r="B23" t="s">
        <v>205</v>
      </c>
      <c r="C23">
        <v>801</v>
      </c>
      <c r="D23">
        <v>4</v>
      </c>
      <c r="E23" t="s">
        <v>5</v>
      </c>
      <c r="F23" t="s">
        <v>218</v>
      </c>
      <c r="H23">
        <v>1</v>
      </c>
    </row>
    <row r="24" spans="1:8" x14ac:dyDescent="0.45">
      <c r="A24">
        <v>1.7</v>
      </c>
      <c r="B24" t="s">
        <v>205</v>
      </c>
      <c r="C24">
        <v>801</v>
      </c>
      <c r="D24">
        <v>5</v>
      </c>
      <c r="E24" t="s">
        <v>5</v>
      </c>
      <c r="F24" t="s">
        <v>221</v>
      </c>
      <c r="H24">
        <v>1</v>
      </c>
    </row>
    <row r="25" spans="1:8" x14ac:dyDescent="0.45">
      <c r="A25">
        <v>1.7</v>
      </c>
      <c r="B25" t="s">
        <v>205</v>
      </c>
      <c r="C25">
        <v>801</v>
      </c>
      <c r="D25">
        <v>6</v>
      </c>
      <c r="E25" t="s">
        <v>7</v>
      </c>
      <c r="F25" t="s">
        <v>10</v>
      </c>
      <c r="H25">
        <v>1</v>
      </c>
    </row>
    <row r="26" spans="1:8" x14ac:dyDescent="0.45">
      <c r="A26">
        <v>1.7</v>
      </c>
      <c r="B26" t="s">
        <v>205</v>
      </c>
      <c r="C26">
        <v>801</v>
      </c>
      <c r="D26">
        <v>7</v>
      </c>
      <c r="E26" t="s">
        <v>7</v>
      </c>
      <c r="F26" t="s">
        <v>10</v>
      </c>
      <c r="H26">
        <v>1</v>
      </c>
    </row>
    <row r="27" spans="1:8" x14ac:dyDescent="0.45">
      <c r="A27">
        <v>1.7</v>
      </c>
      <c r="B27" t="s">
        <v>205</v>
      </c>
      <c r="C27">
        <v>801</v>
      </c>
      <c r="D27">
        <v>8</v>
      </c>
      <c r="E27" t="s">
        <v>7</v>
      </c>
      <c r="F27" t="s">
        <v>10</v>
      </c>
      <c r="H27">
        <v>1</v>
      </c>
    </row>
    <row r="28" spans="1:8" x14ac:dyDescent="0.45">
      <c r="A28">
        <v>1.7</v>
      </c>
      <c r="B28" t="s">
        <v>205</v>
      </c>
      <c r="C28">
        <v>801</v>
      </c>
      <c r="D28">
        <v>9</v>
      </c>
      <c r="E28" t="s">
        <v>5</v>
      </c>
      <c r="F28" t="s">
        <v>222</v>
      </c>
      <c r="H28">
        <v>1</v>
      </c>
    </row>
    <row r="29" spans="1:8" x14ac:dyDescent="0.45">
      <c r="A29">
        <v>1.7</v>
      </c>
      <c r="B29" t="s">
        <v>205</v>
      </c>
      <c r="C29">
        <v>801</v>
      </c>
      <c r="D29">
        <v>10</v>
      </c>
      <c r="E29" t="s">
        <v>7</v>
      </c>
      <c r="F29" t="s">
        <v>10</v>
      </c>
      <c r="H29">
        <v>1</v>
      </c>
    </row>
    <row r="30" spans="1:8" x14ac:dyDescent="0.45">
      <c r="A30">
        <v>1.7</v>
      </c>
      <c r="B30" t="s">
        <v>205</v>
      </c>
      <c r="C30">
        <v>1201</v>
      </c>
      <c r="D30">
        <v>1</v>
      </c>
      <c r="E30" t="s">
        <v>5</v>
      </c>
      <c r="F30" t="s">
        <v>223</v>
      </c>
      <c r="H30">
        <v>1</v>
      </c>
    </row>
    <row r="31" spans="1:8" x14ac:dyDescent="0.45">
      <c r="A31">
        <v>1.7</v>
      </c>
      <c r="B31" t="s">
        <v>205</v>
      </c>
      <c r="C31">
        <v>1201</v>
      </c>
      <c r="D31">
        <v>2</v>
      </c>
      <c r="E31" t="s">
        <v>5</v>
      </c>
      <c r="F31" t="s">
        <v>138</v>
      </c>
      <c r="H31">
        <v>1</v>
      </c>
    </row>
    <row r="32" spans="1:8" x14ac:dyDescent="0.45">
      <c r="A32">
        <v>1.7</v>
      </c>
      <c r="B32" t="s">
        <v>205</v>
      </c>
      <c r="C32">
        <v>1201</v>
      </c>
      <c r="D32">
        <v>3</v>
      </c>
      <c r="E32" t="s">
        <v>5</v>
      </c>
      <c r="F32" t="s">
        <v>224</v>
      </c>
      <c r="H32">
        <v>1</v>
      </c>
    </row>
    <row r="33" spans="1:8" x14ac:dyDescent="0.45">
      <c r="A33">
        <v>1.7</v>
      </c>
      <c r="B33" t="s">
        <v>205</v>
      </c>
      <c r="C33">
        <v>1201</v>
      </c>
      <c r="D33">
        <v>4</v>
      </c>
      <c r="E33" t="s">
        <v>5</v>
      </c>
      <c r="F33" t="s">
        <v>225</v>
      </c>
      <c r="H33">
        <v>1</v>
      </c>
    </row>
    <row r="34" spans="1:8" x14ac:dyDescent="0.45">
      <c r="A34">
        <v>1.7</v>
      </c>
      <c r="B34" t="s">
        <v>205</v>
      </c>
      <c r="C34">
        <v>1201</v>
      </c>
      <c r="D34">
        <v>5</v>
      </c>
      <c r="E34" t="s">
        <v>5</v>
      </c>
      <c r="F34" t="s">
        <v>59</v>
      </c>
      <c r="H34">
        <v>1</v>
      </c>
    </row>
    <row r="35" spans="1:8" x14ac:dyDescent="0.45">
      <c r="A35">
        <v>1.7</v>
      </c>
      <c r="B35" t="s">
        <v>205</v>
      </c>
      <c r="C35">
        <v>1201</v>
      </c>
      <c r="D35">
        <v>6</v>
      </c>
      <c r="E35" t="s">
        <v>5</v>
      </c>
      <c r="F35" t="s">
        <v>226</v>
      </c>
      <c r="H35">
        <v>1</v>
      </c>
    </row>
    <row r="36" spans="1:8" x14ac:dyDescent="0.45">
      <c r="A36">
        <v>1.7</v>
      </c>
      <c r="B36" t="s">
        <v>205</v>
      </c>
      <c r="C36">
        <v>1201</v>
      </c>
      <c r="D36">
        <v>7</v>
      </c>
      <c r="E36" t="s">
        <v>5</v>
      </c>
      <c r="F36" t="s">
        <v>227</v>
      </c>
      <c r="H36">
        <v>1</v>
      </c>
    </row>
    <row r="37" spans="1:8" x14ac:dyDescent="0.45">
      <c r="A37">
        <v>1.7</v>
      </c>
      <c r="B37" t="s">
        <v>205</v>
      </c>
      <c r="C37">
        <v>1201</v>
      </c>
      <c r="D37">
        <v>8</v>
      </c>
      <c r="E37" t="s">
        <v>18</v>
      </c>
      <c r="F37" t="s">
        <v>229</v>
      </c>
      <c r="H37">
        <v>1</v>
      </c>
    </row>
    <row r="38" spans="1:8" x14ac:dyDescent="0.45">
      <c r="A38">
        <v>1.7</v>
      </c>
      <c r="B38" t="s">
        <v>205</v>
      </c>
      <c r="C38">
        <v>1201</v>
      </c>
      <c r="D38">
        <v>9</v>
      </c>
      <c r="E38" t="s">
        <v>18</v>
      </c>
      <c r="F38" t="s">
        <v>60</v>
      </c>
      <c r="H38">
        <v>1</v>
      </c>
    </row>
    <row r="39" spans="1:8" x14ac:dyDescent="0.45">
      <c r="A39">
        <v>1.7</v>
      </c>
      <c r="B39" t="s">
        <v>205</v>
      </c>
      <c r="C39">
        <v>1201</v>
      </c>
      <c r="D39">
        <v>10</v>
      </c>
      <c r="E39" t="s">
        <v>5</v>
      </c>
      <c r="F39" t="s">
        <v>230</v>
      </c>
      <c r="H39">
        <v>1</v>
      </c>
    </row>
    <row r="40" spans="1:8" x14ac:dyDescent="0.45">
      <c r="A40">
        <v>1.7</v>
      </c>
      <c r="B40" t="s">
        <v>205</v>
      </c>
      <c r="C40">
        <v>1601</v>
      </c>
      <c r="D40">
        <v>1</v>
      </c>
      <c r="E40" t="s">
        <v>5</v>
      </c>
      <c r="F40" t="s">
        <v>199</v>
      </c>
      <c r="H40">
        <v>1</v>
      </c>
    </row>
    <row r="41" spans="1:8" x14ac:dyDescent="0.45">
      <c r="A41">
        <v>1.7</v>
      </c>
      <c r="B41" t="s">
        <v>205</v>
      </c>
      <c r="C41">
        <v>1601</v>
      </c>
      <c r="D41">
        <v>2</v>
      </c>
      <c r="E41" t="s">
        <v>5</v>
      </c>
      <c r="F41" t="s">
        <v>231</v>
      </c>
      <c r="H41">
        <v>1</v>
      </c>
    </row>
    <row r="42" spans="1:8" x14ac:dyDescent="0.45">
      <c r="A42">
        <v>1.7</v>
      </c>
      <c r="B42" t="s">
        <v>205</v>
      </c>
      <c r="C42">
        <v>1601</v>
      </c>
      <c r="D42">
        <v>3</v>
      </c>
      <c r="E42" t="s">
        <v>5</v>
      </c>
      <c r="F42" t="s">
        <v>232</v>
      </c>
      <c r="H42">
        <v>1</v>
      </c>
    </row>
    <row r="43" spans="1:8" x14ac:dyDescent="0.45">
      <c r="A43">
        <v>1.7</v>
      </c>
      <c r="B43" t="s">
        <v>205</v>
      </c>
      <c r="C43">
        <v>1601</v>
      </c>
      <c r="D43">
        <v>4</v>
      </c>
      <c r="E43" t="s">
        <v>7</v>
      </c>
      <c r="F43" t="s">
        <v>10</v>
      </c>
      <c r="H43">
        <v>1</v>
      </c>
    </row>
    <row r="44" spans="1:8" x14ac:dyDescent="0.45">
      <c r="A44">
        <v>1.7</v>
      </c>
      <c r="B44" t="s">
        <v>205</v>
      </c>
      <c r="C44">
        <v>1601</v>
      </c>
      <c r="D44">
        <v>5</v>
      </c>
      <c r="E44" t="s">
        <v>5</v>
      </c>
      <c r="F44" t="s">
        <v>233</v>
      </c>
      <c r="H44">
        <v>1</v>
      </c>
    </row>
    <row r="45" spans="1:8" x14ac:dyDescent="0.45">
      <c r="A45">
        <v>1.7</v>
      </c>
      <c r="B45" t="s">
        <v>205</v>
      </c>
      <c r="C45">
        <v>1601</v>
      </c>
      <c r="D45">
        <v>6</v>
      </c>
      <c r="E45" t="s">
        <v>7</v>
      </c>
      <c r="F45" t="s">
        <v>10</v>
      </c>
      <c r="H45">
        <v>1</v>
      </c>
    </row>
    <row r="46" spans="1:8" x14ac:dyDescent="0.45">
      <c r="A46">
        <v>1.7</v>
      </c>
      <c r="B46" t="s">
        <v>205</v>
      </c>
      <c r="C46">
        <v>1601</v>
      </c>
      <c r="D46">
        <v>7</v>
      </c>
      <c r="E46" t="s">
        <v>5</v>
      </c>
      <c r="F46" t="s">
        <v>139</v>
      </c>
      <c r="G46" t="s">
        <v>171</v>
      </c>
      <c r="H46">
        <v>1</v>
      </c>
    </row>
    <row r="47" spans="1:8" x14ac:dyDescent="0.45">
      <c r="A47">
        <v>1.7</v>
      </c>
      <c r="B47" t="s">
        <v>205</v>
      </c>
      <c r="C47">
        <v>1601</v>
      </c>
      <c r="D47">
        <v>8</v>
      </c>
      <c r="E47" t="s">
        <v>5</v>
      </c>
      <c r="F47" t="s">
        <v>234</v>
      </c>
      <c r="H47">
        <v>1</v>
      </c>
    </row>
    <row r="48" spans="1:8" x14ac:dyDescent="0.45">
      <c r="A48">
        <v>1.7</v>
      </c>
      <c r="B48" t="s">
        <v>205</v>
      </c>
      <c r="C48">
        <v>1601</v>
      </c>
      <c r="D48">
        <v>9</v>
      </c>
      <c r="E48" t="s">
        <v>7</v>
      </c>
      <c r="F48" t="s">
        <v>10</v>
      </c>
      <c r="H48">
        <v>1</v>
      </c>
    </row>
    <row r="49" spans="1:8" x14ac:dyDescent="0.45">
      <c r="A49">
        <v>1.7</v>
      </c>
      <c r="B49" t="s">
        <v>205</v>
      </c>
      <c r="C49">
        <v>1601</v>
      </c>
      <c r="D49">
        <v>10</v>
      </c>
      <c r="E49" t="s">
        <v>7</v>
      </c>
      <c r="F49" t="s">
        <v>10</v>
      </c>
      <c r="H49">
        <v>1</v>
      </c>
    </row>
    <row r="50" spans="1:8" x14ac:dyDescent="0.45">
      <c r="A50">
        <v>1.7</v>
      </c>
      <c r="B50" t="s">
        <v>205</v>
      </c>
      <c r="C50">
        <v>1601</v>
      </c>
      <c r="D50">
        <v>11</v>
      </c>
      <c r="E50" t="s">
        <v>5</v>
      </c>
      <c r="F50" t="s">
        <v>235</v>
      </c>
      <c r="H50">
        <v>1</v>
      </c>
    </row>
    <row r="51" spans="1:8" x14ac:dyDescent="0.45">
      <c r="A51">
        <v>1.7</v>
      </c>
      <c r="B51" t="s">
        <v>205</v>
      </c>
      <c r="C51">
        <v>1601</v>
      </c>
      <c r="D51">
        <v>12</v>
      </c>
      <c r="E51" t="s">
        <v>7</v>
      </c>
      <c r="F51" t="s">
        <v>10</v>
      </c>
      <c r="H51">
        <v>1</v>
      </c>
    </row>
    <row r="52" spans="1:8" x14ac:dyDescent="0.45">
      <c r="A52">
        <v>1.7</v>
      </c>
      <c r="B52" t="s">
        <v>680</v>
      </c>
      <c r="C52">
        <v>1601</v>
      </c>
      <c r="D52">
        <v>1</v>
      </c>
      <c r="E52" t="s">
        <v>18</v>
      </c>
      <c r="F52" t="s">
        <v>681</v>
      </c>
      <c r="H52">
        <v>1</v>
      </c>
    </row>
    <row r="53" spans="1:8" x14ac:dyDescent="0.45">
      <c r="A53">
        <v>1.7</v>
      </c>
      <c r="B53" t="s">
        <v>680</v>
      </c>
      <c r="C53">
        <v>1601</v>
      </c>
      <c r="D53">
        <v>2</v>
      </c>
      <c r="E53" t="s">
        <v>7</v>
      </c>
      <c r="F53" t="s">
        <v>9</v>
      </c>
      <c r="H53">
        <v>1</v>
      </c>
    </row>
    <row r="54" spans="1:8" x14ac:dyDescent="0.45">
      <c r="A54">
        <v>1.7</v>
      </c>
      <c r="B54" t="s">
        <v>680</v>
      </c>
      <c r="C54">
        <v>1601</v>
      </c>
      <c r="D54">
        <v>3</v>
      </c>
      <c r="E54" t="s">
        <v>7</v>
      </c>
      <c r="F54" t="s">
        <v>10</v>
      </c>
      <c r="H54">
        <v>1</v>
      </c>
    </row>
    <row r="55" spans="1:8" x14ac:dyDescent="0.45">
      <c r="A55">
        <v>1.7</v>
      </c>
      <c r="B55" t="s">
        <v>680</v>
      </c>
      <c r="C55">
        <v>1601</v>
      </c>
      <c r="D55">
        <v>4</v>
      </c>
      <c r="E55" t="s">
        <v>5</v>
      </c>
      <c r="F55" t="s">
        <v>307</v>
      </c>
      <c r="H55">
        <v>1</v>
      </c>
    </row>
    <row r="56" spans="1:8" x14ac:dyDescent="0.45">
      <c r="A56">
        <v>1.7</v>
      </c>
      <c r="B56" t="s">
        <v>680</v>
      </c>
      <c r="C56">
        <v>1601</v>
      </c>
      <c r="D56">
        <v>5</v>
      </c>
      <c r="E56" t="s">
        <v>7</v>
      </c>
      <c r="F56" t="s">
        <v>381</v>
      </c>
      <c r="H56">
        <v>1</v>
      </c>
    </row>
    <row r="57" spans="1:8" x14ac:dyDescent="0.45">
      <c r="A57">
        <v>1.7</v>
      </c>
      <c r="B57" t="s">
        <v>680</v>
      </c>
      <c r="C57">
        <v>1601</v>
      </c>
      <c r="D57">
        <v>6</v>
      </c>
      <c r="E57" t="s">
        <v>5</v>
      </c>
      <c r="F57" t="s">
        <v>65</v>
      </c>
      <c r="H57">
        <v>1</v>
      </c>
    </row>
    <row r="58" spans="1:8" x14ac:dyDescent="0.45">
      <c r="A58">
        <v>1.7</v>
      </c>
      <c r="B58" t="s">
        <v>680</v>
      </c>
      <c r="C58">
        <v>1601</v>
      </c>
      <c r="D58">
        <v>7</v>
      </c>
      <c r="E58" t="s">
        <v>5</v>
      </c>
      <c r="F58" t="s">
        <v>682</v>
      </c>
      <c r="H58">
        <v>1</v>
      </c>
    </row>
    <row r="59" spans="1:8" x14ac:dyDescent="0.45">
      <c r="A59">
        <v>1.7</v>
      </c>
      <c r="B59" t="s">
        <v>680</v>
      </c>
      <c r="C59">
        <v>1601</v>
      </c>
      <c r="D59">
        <v>8</v>
      </c>
      <c r="E59" t="s">
        <v>5</v>
      </c>
      <c r="F59" t="s">
        <v>103</v>
      </c>
      <c r="H59">
        <v>1</v>
      </c>
    </row>
    <row r="60" spans="1:8" x14ac:dyDescent="0.45">
      <c r="A60">
        <v>1.7</v>
      </c>
      <c r="B60" t="s">
        <v>680</v>
      </c>
      <c r="C60">
        <v>1601</v>
      </c>
      <c r="D60">
        <v>9</v>
      </c>
      <c r="E60" t="s">
        <v>5</v>
      </c>
      <c r="F60" t="s">
        <v>683</v>
      </c>
      <c r="H60">
        <v>1</v>
      </c>
    </row>
    <row r="61" spans="1:8" x14ac:dyDescent="0.45">
      <c r="A61">
        <v>1.7</v>
      </c>
      <c r="B61" t="s">
        <v>680</v>
      </c>
      <c r="C61">
        <v>1601</v>
      </c>
      <c r="D61">
        <v>10</v>
      </c>
      <c r="E61" t="s">
        <v>18</v>
      </c>
      <c r="F61" t="s">
        <v>684</v>
      </c>
      <c r="H61">
        <v>1</v>
      </c>
    </row>
    <row r="62" spans="1:8" x14ac:dyDescent="0.45">
      <c r="A62">
        <v>1.7</v>
      </c>
      <c r="B62" t="s">
        <v>680</v>
      </c>
      <c r="C62">
        <v>1601</v>
      </c>
      <c r="D62">
        <v>11</v>
      </c>
      <c r="E62" t="s">
        <v>18</v>
      </c>
      <c r="F62" t="s">
        <v>429</v>
      </c>
      <c r="H62">
        <v>1</v>
      </c>
    </row>
    <row r="63" spans="1:8" x14ac:dyDescent="0.45">
      <c r="A63">
        <v>1.7</v>
      </c>
      <c r="B63" t="s">
        <v>680</v>
      </c>
      <c r="C63">
        <v>1201</v>
      </c>
      <c r="D63">
        <v>1</v>
      </c>
      <c r="E63" t="s">
        <v>5</v>
      </c>
      <c r="F63" t="s">
        <v>685</v>
      </c>
      <c r="H63">
        <v>1</v>
      </c>
    </row>
    <row r="64" spans="1:8" x14ac:dyDescent="0.45">
      <c r="A64">
        <v>1.7</v>
      </c>
      <c r="B64" t="s">
        <v>680</v>
      </c>
      <c r="C64">
        <v>1201</v>
      </c>
      <c r="D64">
        <v>2</v>
      </c>
      <c r="E64" t="s">
        <v>5</v>
      </c>
      <c r="F64" t="s">
        <v>493</v>
      </c>
      <c r="H64">
        <v>1</v>
      </c>
    </row>
    <row r="65" spans="1:8" x14ac:dyDescent="0.45">
      <c r="A65">
        <v>1.7</v>
      </c>
      <c r="B65" t="s">
        <v>680</v>
      </c>
      <c r="C65">
        <v>1201</v>
      </c>
      <c r="D65">
        <v>3</v>
      </c>
      <c r="E65" t="s">
        <v>5</v>
      </c>
      <c r="F65" t="s">
        <v>59</v>
      </c>
      <c r="H65">
        <v>1</v>
      </c>
    </row>
    <row r="66" spans="1:8" x14ac:dyDescent="0.45">
      <c r="A66">
        <v>1.7</v>
      </c>
      <c r="B66" t="s">
        <v>680</v>
      </c>
      <c r="C66">
        <v>1201</v>
      </c>
      <c r="D66">
        <v>4</v>
      </c>
      <c r="E66" t="s">
        <v>5</v>
      </c>
      <c r="F66" t="s">
        <v>180</v>
      </c>
      <c r="H66">
        <v>1</v>
      </c>
    </row>
    <row r="67" spans="1:8" x14ac:dyDescent="0.45">
      <c r="A67">
        <v>1.7</v>
      </c>
      <c r="B67" t="s">
        <v>680</v>
      </c>
      <c r="C67">
        <v>1201</v>
      </c>
      <c r="D67">
        <v>5</v>
      </c>
      <c r="E67" t="s">
        <v>5</v>
      </c>
      <c r="F67" t="s">
        <v>686</v>
      </c>
      <c r="G67" t="s">
        <v>171</v>
      </c>
      <c r="H67">
        <v>1</v>
      </c>
    </row>
    <row r="68" spans="1:8" x14ac:dyDescent="0.45">
      <c r="A68">
        <v>1.7</v>
      </c>
      <c r="B68" t="s">
        <v>680</v>
      </c>
      <c r="C68">
        <v>1201</v>
      </c>
      <c r="D68">
        <v>6</v>
      </c>
      <c r="E68" t="s">
        <v>5</v>
      </c>
      <c r="F68" t="s">
        <v>180</v>
      </c>
      <c r="H68">
        <v>1</v>
      </c>
    </row>
    <row r="69" spans="1:8" x14ac:dyDescent="0.45">
      <c r="A69">
        <v>1.7</v>
      </c>
      <c r="B69" t="s">
        <v>680</v>
      </c>
      <c r="C69">
        <v>1201</v>
      </c>
      <c r="D69">
        <v>7</v>
      </c>
      <c r="E69" t="s">
        <v>5</v>
      </c>
      <c r="F69" t="s">
        <v>687</v>
      </c>
      <c r="H69">
        <v>1</v>
      </c>
    </row>
    <row r="70" spans="1:8" x14ac:dyDescent="0.45">
      <c r="A70">
        <v>1.7</v>
      </c>
      <c r="B70" t="s">
        <v>680</v>
      </c>
      <c r="C70">
        <v>1201</v>
      </c>
      <c r="D70">
        <v>8</v>
      </c>
      <c r="E70" t="s">
        <v>5</v>
      </c>
      <c r="F70" t="s">
        <v>364</v>
      </c>
      <c r="H70">
        <v>1</v>
      </c>
    </row>
    <row r="71" spans="1:8" x14ac:dyDescent="0.45">
      <c r="A71">
        <v>1.7</v>
      </c>
      <c r="B71" t="s">
        <v>680</v>
      </c>
      <c r="C71">
        <v>1201</v>
      </c>
      <c r="D71">
        <v>9</v>
      </c>
      <c r="E71" t="s">
        <v>5</v>
      </c>
      <c r="F71" t="s">
        <v>227</v>
      </c>
      <c r="H71">
        <v>1</v>
      </c>
    </row>
    <row r="72" spans="1:8" x14ac:dyDescent="0.45">
      <c r="A72">
        <v>1.7</v>
      </c>
      <c r="B72" t="s">
        <v>680</v>
      </c>
      <c r="C72">
        <v>801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1.7</v>
      </c>
      <c r="B73" t="s">
        <v>680</v>
      </c>
      <c r="C73">
        <v>801</v>
      </c>
      <c r="D73">
        <v>2</v>
      </c>
      <c r="E73" t="s">
        <v>5</v>
      </c>
      <c r="F73" t="s">
        <v>219</v>
      </c>
      <c r="H73">
        <v>1</v>
      </c>
    </row>
    <row r="74" spans="1:8" x14ac:dyDescent="0.45">
      <c r="A74">
        <v>1.7</v>
      </c>
      <c r="B74" t="s">
        <v>680</v>
      </c>
      <c r="C74">
        <v>801</v>
      </c>
      <c r="D74">
        <v>3</v>
      </c>
      <c r="E74" t="s">
        <v>5</v>
      </c>
      <c r="F74" t="s">
        <v>360</v>
      </c>
      <c r="H74">
        <v>1</v>
      </c>
    </row>
    <row r="75" spans="1:8" x14ac:dyDescent="0.45">
      <c r="A75">
        <v>1.7</v>
      </c>
      <c r="B75" t="s">
        <v>680</v>
      </c>
      <c r="C75">
        <v>801</v>
      </c>
      <c r="D75">
        <v>4</v>
      </c>
      <c r="E75" t="s">
        <v>5</v>
      </c>
      <c r="F75" t="s">
        <v>172</v>
      </c>
      <c r="H75">
        <v>1</v>
      </c>
    </row>
    <row r="76" spans="1:8" x14ac:dyDescent="0.45">
      <c r="A76">
        <v>1.7</v>
      </c>
      <c r="B76" t="s">
        <v>680</v>
      </c>
      <c r="C76">
        <v>801</v>
      </c>
      <c r="D76">
        <v>5</v>
      </c>
      <c r="E76" t="s">
        <v>5</v>
      </c>
      <c r="F76" t="s">
        <v>502</v>
      </c>
      <c r="H76">
        <v>1</v>
      </c>
    </row>
    <row r="77" spans="1:8" x14ac:dyDescent="0.45">
      <c r="A77">
        <v>1.7</v>
      </c>
      <c r="B77" t="s">
        <v>680</v>
      </c>
      <c r="C77">
        <v>801</v>
      </c>
      <c r="D77">
        <v>6</v>
      </c>
      <c r="E77" t="s">
        <v>18</v>
      </c>
      <c r="F77" t="s">
        <v>689</v>
      </c>
      <c r="H77">
        <v>1</v>
      </c>
    </row>
    <row r="78" spans="1:8" x14ac:dyDescent="0.45">
      <c r="A78">
        <v>1.7</v>
      </c>
      <c r="B78" t="s">
        <v>680</v>
      </c>
      <c r="C78">
        <v>801</v>
      </c>
      <c r="D78">
        <v>7</v>
      </c>
      <c r="E78" t="s">
        <v>5</v>
      </c>
      <c r="F78" t="s">
        <v>688</v>
      </c>
      <c r="H78">
        <v>1</v>
      </c>
    </row>
    <row r="79" spans="1:8" x14ac:dyDescent="0.45">
      <c r="A79">
        <v>1.7</v>
      </c>
      <c r="B79" t="s">
        <v>680</v>
      </c>
      <c r="C79">
        <v>801</v>
      </c>
      <c r="D79">
        <v>8</v>
      </c>
      <c r="E79" t="s">
        <v>5</v>
      </c>
      <c r="F79" t="s">
        <v>358</v>
      </c>
      <c r="H79">
        <v>1</v>
      </c>
    </row>
    <row r="80" spans="1:8" x14ac:dyDescent="0.45">
      <c r="A80">
        <v>1.7</v>
      </c>
      <c r="B80" t="s">
        <v>680</v>
      </c>
      <c r="C80">
        <v>801</v>
      </c>
      <c r="D80">
        <v>9</v>
      </c>
      <c r="E80" t="s">
        <v>5</v>
      </c>
      <c r="F80" t="s">
        <v>688</v>
      </c>
      <c r="G80" t="s">
        <v>171</v>
      </c>
      <c r="H80">
        <v>1</v>
      </c>
    </row>
    <row r="81" spans="1:8" x14ac:dyDescent="0.45">
      <c r="A81">
        <v>1.7</v>
      </c>
      <c r="B81" t="s">
        <v>680</v>
      </c>
      <c r="C81">
        <v>801</v>
      </c>
      <c r="D81">
        <v>10</v>
      </c>
      <c r="E81" t="s">
        <v>5</v>
      </c>
      <c r="F81" t="s">
        <v>250</v>
      </c>
      <c r="G81" t="s">
        <v>171</v>
      </c>
      <c r="H81">
        <v>1</v>
      </c>
    </row>
    <row r="82" spans="1:8" x14ac:dyDescent="0.45">
      <c r="A82">
        <v>1.7</v>
      </c>
      <c r="B82" t="s">
        <v>680</v>
      </c>
      <c r="C82">
        <v>801</v>
      </c>
      <c r="D82">
        <v>11</v>
      </c>
      <c r="E82" t="s">
        <v>5</v>
      </c>
      <c r="F82" t="s">
        <v>279</v>
      </c>
      <c r="H82">
        <v>1</v>
      </c>
    </row>
    <row r="83" spans="1:8" x14ac:dyDescent="0.45">
      <c r="A83">
        <v>1.7</v>
      </c>
      <c r="B83" t="s">
        <v>680</v>
      </c>
      <c r="C83">
        <v>801</v>
      </c>
      <c r="D83">
        <v>12</v>
      </c>
      <c r="E83" t="s">
        <v>5</v>
      </c>
      <c r="F83" t="s">
        <v>688</v>
      </c>
      <c r="H83">
        <v>1</v>
      </c>
    </row>
    <row r="84" spans="1:8" x14ac:dyDescent="0.45">
      <c r="A84">
        <v>1.7</v>
      </c>
      <c r="B84" t="s">
        <v>680</v>
      </c>
      <c r="C84">
        <v>801</v>
      </c>
      <c r="D84">
        <v>13</v>
      </c>
      <c r="E84" t="s">
        <v>5</v>
      </c>
      <c r="F84" t="s">
        <v>690</v>
      </c>
      <c r="H84">
        <v>1</v>
      </c>
    </row>
    <row r="85" spans="1:8" x14ac:dyDescent="0.45">
      <c r="A85">
        <v>1.7</v>
      </c>
      <c r="B85" t="s">
        <v>680</v>
      </c>
      <c r="C85">
        <v>801</v>
      </c>
      <c r="D85">
        <v>14</v>
      </c>
      <c r="E85" t="s">
        <v>18</v>
      </c>
      <c r="F85" t="s">
        <v>252</v>
      </c>
      <c r="H85">
        <v>1</v>
      </c>
    </row>
    <row r="86" spans="1:8" x14ac:dyDescent="0.45">
      <c r="A86">
        <v>1.7</v>
      </c>
      <c r="B86" t="s">
        <v>680</v>
      </c>
      <c r="C86">
        <v>801</v>
      </c>
      <c r="D86">
        <v>15</v>
      </c>
      <c r="E86" t="s">
        <v>5</v>
      </c>
      <c r="F86" t="s">
        <v>691</v>
      </c>
      <c r="H86">
        <v>1</v>
      </c>
    </row>
    <row r="87" spans="1:8" x14ac:dyDescent="0.45">
      <c r="A87">
        <v>1.7</v>
      </c>
      <c r="B87" t="s">
        <v>680</v>
      </c>
      <c r="C87">
        <v>801</v>
      </c>
      <c r="D87">
        <v>16</v>
      </c>
      <c r="E87" t="s">
        <v>5</v>
      </c>
      <c r="F87" t="s">
        <v>176</v>
      </c>
      <c r="H87">
        <v>1</v>
      </c>
    </row>
    <row r="88" spans="1:8" x14ac:dyDescent="0.45">
      <c r="A88">
        <v>1.7</v>
      </c>
      <c r="B88" t="s">
        <v>680</v>
      </c>
      <c r="C88">
        <v>801</v>
      </c>
      <c r="D88">
        <v>17</v>
      </c>
      <c r="E88" t="s">
        <v>5</v>
      </c>
      <c r="F88" t="s">
        <v>400</v>
      </c>
      <c r="H88">
        <v>1</v>
      </c>
    </row>
    <row r="89" spans="1:8" x14ac:dyDescent="0.45">
      <c r="A89">
        <v>1.7</v>
      </c>
      <c r="B89" t="s">
        <v>680</v>
      </c>
      <c r="C89">
        <v>401</v>
      </c>
      <c r="D89">
        <v>1</v>
      </c>
      <c r="E89" t="s">
        <v>7</v>
      </c>
      <c r="F89" t="s">
        <v>9</v>
      </c>
      <c r="H89">
        <v>1</v>
      </c>
    </row>
    <row r="90" spans="1:8" x14ac:dyDescent="0.45">
      <c r="A90">
        <v>1.7</v>
      </c>
      <c r="B90" t="s">
        <v>680</v>
      </c>
      <c r="C90">
        <v>401</v>
      </c>
      <c r="D90">
        <v>2</v>
      </c>
      <c r="E90" t="s">
        <v>7</v>
      </c>
      <c r="F90" t="s">
        <v>10</v>
      </c>
      <c r="H90">
        <v>1</v>
      </c>
    </row>
    <row r="91" spans="1:8" x14ac:dyDescent="0.45">
      <c r="A91">
        <v>1.7</v>
      </c>
      <c r="B91" t="s">
        <v>680</v>
      </c>
      <c r="C91">
        <v>401</v>
      </c>
      <c r="D91">
        <v>3</v>
      </c>
      <c r="E91" t="s">
        <v>18</v>
      </c>
      <c r="F91" t="s">
        <v>692</v>
      </c>
      <c r="H91">
        <v>1</v>
      </c>
    </row>
    <row r="92" spans="1:8" x14ac:dyDescent="0.45">
      <c r="A92">
        <v>1.7</v>
      </c>
      <c r="B92" t="s">
        <v>680</v>
      </c>
      <c r="C92">
        <v>401</v>
      </c>
      <c r="D92">
        <v>4</v>
      </c>
      <c r="E92" t="s">
        <v>5</v>
      </c>
      <c r="F92" t="s">
        <v>277</v>
      </c>
      <c r="H92">
        <v>1</v>
      </c>
    </row>
    <row r="93" spans="1:8" x14ac:dyDescent="0.45">
      <c r="A93">
        <v>1.7</v>
      </c>
      <c r="B93" t="s">
        <v>680</v>
      </c>
      <c r="C93">
        <v>401</v>
      </c>
      <c r="D93">
        <v>5</v>
      </c>
      <c r="E93" t="s">
        <v>5</v>
      </c>
      <c r="F93" t="s">
        <v>119</v>
      </c>
      <c r="G93" t="s">
        <v>171</v>
      </c>
      <c r="H93">
        <v>1</v>
      </c>
    </row>
    <row r="94" spans="1:8" x14ac:dyDescent="0.45">
      <c r="A94">
        <v>1.7</v>
      </c>
      <c r="B94" t="s">
        <v>680</v>
      </c>
      <c r="C94">
        <v>401</v>
      </c>
      <c r="D94">
        <v>6</v>
      </c>
      <c r="E94" t="s">
        <v>5</v>
      </c>
      <c r="F94" t="s">
        <v>113</v>
      </c>
      <c r="G94" t="s">
        <v>171</v>
      </c>
      <c r="H94">
        <v>1</v>
      </c>
    </row>
    <row r="95" spans="1:8" x14ac:dyDescent="0.45">
      <c r="A95">
        <v>1.7</v>
      </c>
      <c r="B95" t="s">
        <v>680</v>
      </c>
      <c r="C95">
        <v>401</v>
      </c>
      <c r="D95">
        <v>7</v>
      </c>
      <c r="E95" t="s">
        <v>18</v>
      </c>
      <c r="F95" t="s">
        <v>693</v>
      </c>
      <c r="H95">
        <v>1</v>
      </c>
    </row>
    <row r="96" spans="1:8" x14ac:dyDescent="0.45">
      <c r="A96">
        <v>1.7</v>
      </c>
      <c r="B96" t="s">
        <v>680</v>
      </c>
      <c r="C96">
        <v>401</v>
      </c>
      <c r="D96">
        <v>8</v>
      </c>
      <c r="E96" t="s">
        <v>18</v>
      </c>
      <c r="F96" t="s">
        <v>34</v>
      </c>
      <c r="H96">
        <v>1</v>
      </c>
    </row>
    <row r="97" spans="1:8" x14ac:dyDescent="0.45">
      <c r="A97">
        <v>1.7</v>
      </c>
      <c r="B97" t="s">
        <v>680</v>
      </c>
      <c r="C97">
        <v>401</v>
      </c>
      <c r="D97">
        <v>9</v>
      </c>
      <c r="E97" t="s">
        <v>5</v>
      </c>
      <c r="F97" t="s">
        <v>79</v>
      </c>
      <c r="H97">
        <v>1</v>
      </c>
    </row>
    <row r="98" spans="1:8" x14ac:dyDescent="0.45">
      <c r="A98">
        <v>1.7</v>
      </c>
      <c r="B98" t="s">
        <v>680</v>
      </c>
      <c r="C98">
        <v>1</v>
      </c>
      <c r="D98">
        <v>1</v>
      </c>
      <c r="E98" t="s">
        <v>5</v>
      </c>
      <c r="F98" t="s">
        <v>694</v>
      </c>
      <c r="H98">
        <v>1</v>
      </c>
    </row>
    <row r="99" spans="1:8" x14ac:dyDescent="0.45">
      <c r="A99">
        <v>1.7</v>
      </c>
      <c r="B99" t="s">
        <v>680</v>
      </c>
      <c r="C99">
        <v>1</v>
      </c>
      <c r="D99">
        <v>2</v>
      </c>
      <c r="E99" t="s">
        <v>5</v>
      </c>
      <c r="F99" t="s">
        <v>695</v>
      </c>
      <c r="H99">
        <v>1</v>
      </c>
    </row>
    <row r="100" spans="1:8" x14ac:dyDescent="0.45">
      <c r="A100">
        <v>1.7</v>
      </c>
      <c r="B100" t="s">
        <v>680</v>
      </c>
      <c r="C100">
        <v>1</v>
      </c>
      <c r="D100">
        <v>3</v>
      </c>
      <c r="E100" t="s">
        <v>5</v>
      </c>
      <c r="F100" t="s">
        <v>432</v>
      </c>
      <c r="H100">
        <v>1</v>
      </c>
    </row>
    <row r="101" spans="1:8" x14ac:dyDescent="0.45">
      <c r="A101">
        <v>1.7</v>
      </c>
      <c r="B101" t="s">
        <v>680</v>
      </c>
      <c r="C101">
        <v>1</v>
      </c>
      <c r="D101">
        <v>4</v>
      </c>
      <c r="E101" t="s">
        <v>7</v>
      </c>
      <c r="F101" t="s">
        <v>9</v>
      </c>
      <c r="H101">
        <v>1</v>
      </c>
    </row>
    <row r="102" spans="1:8" x14ac:dyDescent="0.45">
      <c r="A102">
        <v>1.7</v>
      </c>
      <c r="B102" t="s">
        <v>680</v>
      </c>
      <c r="C102">
        <v>1</v>
      </c>
      <c r="D102">
        <v>5</v>
      </c>
      <c r="E102" t="s">
        <v>5</v>
      </c>
      <c r="F102" t="s">
        <v>316</v>
      </c>
      <c r="H102">
        <v>1</v>
      </c>
    </row>
    <row r="103" spans="1:8" x14ac:dyDescent="0.45">
      <c r="A103">
        <v>1.7</v>
      </c>
      <c r="B103" t="s">
        <v>680</v>
      </c>
      <c r="C103">
        <v>1</v>
      </c>
      <c r="D103">
        <v>6</v>
      </c>
      <c r="E103" t="s">
        <v>7</v>
      </c>
      <c r="F103" t="s">
        <v>9</v>
      </c>
      <c r="H103">
        <v>1</v>
      </c>
    </row>
    <row r="104" spans="1:8" x14ac:dyDescent="0.45">
      <c r="A104">
        <v>1.7</v>
      </c>
      <c r="B104" t="s">
        <v>680</v>
      </c>
      <c r="C104">
        <v>1</v>
      </c>
      <c r="D104">
        <v>7</v>
      </c>
      <c r="E104" t="s">
        <v>7</v>
      </c>
      <c r="F104" t="s">
        <v>9</v>
      </c>
      <c r="H104">
        <v>1</v>
      </c>
    </row>
    <row r="105" spans="1:8" x14ac:dyDescent="0.45">
      <c r="A105">
        <v>1.7</v>
      </c>
      <c r="B105" t="s">
        <v>680</v>
      </c>
      <c r="C105">
        <v>1</v>
      </c>
      <c r="D105">
        <v>8</v>
      </c>
      <c r="E105" t="s">
        <v>5</v>
      </c>
      <c r="F105" t="s">
        <v>696</v>
      </c>
      <c r="H105">
        <v>1</v>
      </c>
    </row>
    <row r="106" spans="1:8" x14ac:dyDescent="0.45">
      <c r="A106">
        <v>1.7</v>
      </c>
      <c r="B106" t="s">
        <v>680</v>
      </c>
      <c r="C106">
        <v>1</v>
      </c>
      <c r="D106">
        <v>9</v>
      </c>
      <c r="E106" t="s">
        <v>5</v>
      </c>
      <c r="F106" t="s">
        <v>71</v>
      </c>
      <c r="H106">
        <v>1</v>
      </c>
    </row>
    <row r="107" spans="1:8" x14ac:dyDescent="0.45">
      <c r="A107">
        <v>1.7</v>
      </c>
      <c r="B107" t="s">
        <v>680</v>
      </c>
      <c r="C107">
        <v>1</v>
      </c>
      <c r="D107">
        <v>10</v>
      </c>
      <c r="E107" t="s">
        <v>5</v>
      </c>
      <c r="F107" t="s">
        <v>320</v>
      </c>
      <c r="H107">
        <v>1</v>
      </c>
    </row>
    <row r="108" spans="1:8" x14ac:dyDescent="0.45">
      <c r="A108">
        <v>1.7</v>
      </c>
      <c r="B108" t="s">
        <v>680</v>
      </c>
      <c r="C108">
        <v>1</v>
      </c>
      <c r="D108">
        <v>11</v>
      </c>
      <c r="E108" t="s">
        <v>5</v>
      </c>
      <c r="F108" t="s">
        <v>71</v>
      </c>
      <c r="H108">
        <v>1</v>
      </c>
    </row>
    <row r="109" spans="1:8" x14ac:dyDescent="0.45">
      <c r="A109">
        <v>1.7</v>
      </c>
      <c r="B109" t="s">
        <v>680</v>
      </c>
      <c r="C109">
        <v>1</v>
      </c>
      <c r="D109">
        <v>12</v>
      </c>
      <c r="E109" t="s">
        <v>5</v>
      </c>
      <c r="F109" t="s">
        <v>697</v>
      </c>
      <c r="H109">
        <v>1</v>
      </c>
    </row>
    <row r="110" spans="1:8" x14ac:dyDescent="0.45">
      <c r="A110">
        <v>1.7</v>
      </c>
      <c r="B110" t="s">
        <v>698</v>
      </c>
      <c r="C110">
        <v>1601</v>
      </c>
      <c r="D110">
        <v>1</v>
      </c>
      <c r="E110" t="s">
        <v>7</v>
      </c>
      <c r="F110" t="s">
        <v>11</v>
      </c>
      <c r="H110">
        <v>1</v>
      </c>
    </row>
    <row r="111" spans="1:8" x14ac:dyDescent="0.45">
      <c r="A111">
        <v>1.7</v>
      </c>
      <c r="B111" t="s">
        <v>698</v>
      </c>
      <c r="C111">
        <v>1601</v>
      </c>
      <c r="D111">
        <v>2</v>
      </c>
      <c r="E111" t="s">
        <v>18</v>
      </c>
      <c r="F111" t="s">
        <v>699</v>
      </c>
      <c r="H111">
        <v>1</v>
      </c>
    </row>
    <row r="112" spans="1:8" x14ac:dyDescent="0.45">
      <c r="A112">
        <v>1.7</v>
      </c>
      <c r="B112" t="s">
        <v>698</v>
      </c>
      <c r="C112">
        <v>1601</v>
      </c>
      <c r="D112">
        <v>3</v>
      </c>
      <c r="E112" t="s">
        <v>5</v>
      </c>
      <c r="F112" t="s">
        <v>307</v>
      </c>
      <c r="H112">
        <v>1</v>
      </c>
    </row>
    <row r="113" spans="1:8" x14ac:dyDescent="0.45">
      <c r="A113">
        <v>1.7</v>
      </c>
      <c r="B113" t="s">
        <v>698</v>
      </c>
      <c r="C113">
        <v>1601</v>
      </c>
      <c r="D113">
        <v>4</v>
      </c>
      <c r="E113" t="s">
        <v>5</v>
      </c>
      <c r="F113" t="s">
        <v>103</v>
      </c>
      <c r="H113">
        <v>1</v>
      </c>
    </row>
    <row r="114" spans="1:8" x14ac:dyDescent="0.45">
      <c r="A114">
        <v>1.7</v>
      </c>
      <c r="B114" t="s">
        <v>698</v>
      </c>
      <c r="C114">
        <v>1601</v>
      </c>
      <c r="D114">
        <v>5</v>
      </c>
      <c r="E114" t="s">
        <v>5</v>
      </c>
      <c r="F114" t="s">
        <v>700</v>
      </c>
      <c r="H114">
        <v>1</v>
      </c>
    </row>
    <row r="115" spans="1:8" x14ac:dyDescent="0.45">
      <c r="A115">
        <v>1.7</v>
      </c>
      <c r="B115" t="s">
        <v>698</v>
      </c>
      <c r="C115">
        <v>1601</v>
      </c>
      <c r="D115">
        <v>6</v>
      </c>
      <c r="E115" t="s">
        <v>5</v>
      </c>
      <c r="F115" t="s">
        <v>143</v>
      </c>
      <c r="H115">
        <v>1</v>
      </c>
    </row>
    <row r="116" spans="1:8" x14ac:dyDescent="0.45">
      <c r="A116">
        <v>1.7</v>
      </c>
      <c r="B116" t="s">
        <v>698</v>
      </c>
      <c r="C116">
        <v>1601</v>
      </c>
      <c r="D116">
        <v>7</v>
      </c>
      <c r="E116" t="s">
        <v>5</v>
      </c>
      <c r="F116" t="s">
        <v>309</v>
      </c>
      <c r="H116">
        <v>1</v>
      </c>
    </row>
    <row r="117" spans="1:8" x14ac:dyDescent="0.45">
      <c r="A117">
        <v>1.7</v>
      </c>
      <c r="B117" t="s">
        <v>698</v>
      </c>
      <c r="C117">
        <v>1601</v>
      </c>
      <c r="D117">
        <v>8</v>
      </c>
      <c r="E117" t="s">
        <v>7</v>
      </c>
      <c r="F117" t="s">
        <v>10</v>
      </c>
      <c r="H117">
        <v>1</v>
      </c>
    </row>
    <row r="118" spans="1:8" x14ac:dyDescent="0.45">
      <c r="A118">
        <v>1.7</v>
      </c>
      <c r="B118" t="s">
        <v>698</v>
      </c>
      <c r="C118">
        <v>1601</v>
      </c>
      <c r="D118">
        <v>9</v>
      </c>
      <c r="E118" t="s">
        <v>18</v>
      </c>
      <c r="F118" t="s">
        <v>702</v>
      </c>
      <c r="H118">
        <v>1</v>
      </c>
    </row>
    <row r="119" spans="1:8" x14ac:dyDescent="0.45">
      <c r="A119">
        <v>1.7</v>
      </c>
      <c r="B119" t="s">
        <v>698</v>
      </c>
      <c r="C119">
        <v>1601</v>
      </c>
      <c r="D119">
        <v>10</v>
      </c>
      <c r="E119" t="s">
        <v>5</v>
      </c>
      <c r="F119" t="s">
        <v>701</v>
      </c>
      <c r="H119">
        <v>1</v>
      </c>
    </row>
    <row r="120" spans="1:8" x14ac:dyDescent="0.45">
      <c r="A120">
        <v>1.7</v>
      </c>
      <c r="B120" t="s">
        <v>698</v>
      </c>
      <c r="C120">
        <v>1601</v>
      </c>
      <c r="D120">
        <v>11</v>
      </c>
      <c r="E120" t="s">
        <v>7</v>
      </c>
      <c r="F120" t="s">
        <v>381</v>
      </c>
      <c r="H120">
        <v>1</v>
      </c>
    </row>
    <row r="121" spans="1:8" x14ac:dyDescent="0.45">
      <c r="A121">
        <v>1.7</v>
      </c>
      <c r="B121" t="s">
        <v>698</v>
      </c>
      <c r="C121">
        <v>1601</v>
      </c>
      <c r="D121">
        <v>12</v>
      </c>
      <c r="E121" t="s">
        <v>5</v>
      </c>
      <c r="F121" t="s">
        <v>267</v>
      </c>
      <c r="H121">
        <v>1</v>
      </c>
    </row>
    <row r="122" spans="1:8" x14ac:dyDescent="0.45">
      <c r="A122">
        <v>1.7</v>
      </c>
      <c r="B122" t="s">
        <v>698</v>
      </c>
      <c r="C122">
        <v>1201</v>
      </c>
      <c r="D122">
        <v>1</v>
      </c>
      <c r="E122" t="s">
        <v>18</v>
      </c>
      <c r="F122" t="s">
        <v>703</v>
      </c>
      <c r="H122">
        <v>1</v>
      </c>
    </row>
    <row r="123" spans="1:8" x14ac:dyDescent="0.45">
      <c r="A123">
        <v>1.7</v>
      </c>
      <c r="B123" t="s">
        <v>698</v>
      </c>
      <c r="C123">
        <v>1201</v>
      </c>
      <c r="D123">
        <v>2</v>
      </c>
      <c r="E123" t="s">
        <v>7</v>
      </c>
      <c r="F123" t="s">
        <v>10</v>
      </c>
      <c r="H123">
        <v>1</v>
      </c>
    </row>
    <row r="124" spans="1:8" x14ac:dyDescent="0.45">
      <c r="A124">
        <v>1.7</v>
      </c>
      <c r="B124" t="s">
        <v>698</v>
      </c>
      <c r="C124">
        <v>1201</v>
      </c>
      <c r="D124">
        <v>3</v>
      </c>
      <c r="E124" t="s">
        <v>5</v>
      </c>
      <c r="F124" t="s">
        <v>491</v>
      </c>
      <c r="H124">
        <v>1</v>
      </c>
    </row>
    <row r="125" spans="1:8" x14ac:dyDescent="0.45">
      <c r="A125">
        <v>1.7</v>
      </c>
      <c r="B125" t="s">
        <v>698</v>
      </c>
      <c r="C125">
        <v>1201</v>
      </c>
      <c r="D125">
        <v>4</v>
      </c>
      <c r="E125" t="s">
        <v>5</v>
      </c>
      <c r="F125" t="s">
        <v>414</v>
      </c>
      <c r="H125">
        <v>1</v>
      </c>
    </row>
    <row r="126" spans="1:8" x14ac:dyDescent="0.45">
      <c r="A126">
        <v>1.7</v>
      </c>
      <c r="B126" t="s">
        <v>698</v>
      </c>
      <c r="C126">
        <v>1201</v>
      </c>
      <c r="D126">
        <v>5</v>
      </c>
      <c r="E126" t="s">
        <v>7</v>
      </c>
      <c r="F126" t="s">
        <v>9</v>
      </c>
      <c r="H126">
        <v>1</v>
      </c>
    </row>
    <row r="127" spans="1:8" x14ac:dyDescent="0.45">
      <c r="A127">
        <v>1.7</v>
      </c>
      <c r="B127" t="s">
        <v>698</v>
      </c>
      <c r="C127">
        <v>1201</v>
      </c>
      <c r="D127">
        <v>6</v>
      </c>
      <c r="E127" t="s">
        <v>7</v>
      </c>
      <c r="F127" t="s">
        <v>9</v>
      </c>
      <c r="H127">
        <v>1</v>
      </c>
    </row>
    <row r="128" spans="1:8" x14ac:dyDescent="0.45">
      <c r="A128">
        <v>1.7</v>
      </c>
      <c r="B128" t="s">
        <v>698</v>
      </c>
      <c r="C128">
        <v>1201</v>
      </c>
      <c r="D128">
        <v>7</v>
      </c>
      <c r="E128" t="s">
        <v>7</v>
      </c>
      <c r="F128" t="s">
        <v>9</v>
      </c>
      <c r="H128">
        <v>1</v>
      </c>
    </row>
    <row r="129" spans="1:8" x14ac:dyDescent="0.45">
      <c r="A129">
        <v>1.7</v>
      </c>
      <c r="B129" t="s">
        <v>698</v>
      </c>
      <c r="C129">
        <v>1201</v>
      </c>
      <c r="D129">
        <v>8</v>
      </c>
      <c r="E129" t="s">
        <v>5</v>
      </c>
      <c r="F129" t="s">
        <v>704</v>
      </c>
      <c r="H129">
        <v>1</v>
      </c>
    </row>
    <row r="130" spans="1:8" x14ac:dyDescent="0.45">
      <c r="A130">
        <v>1.7</v>
      </c>
      <c r="B130" t="s">
        <v>698</v>
      </c>
      <c r="C130">
        <v>1201</v>
      </c>
      <c r="D130">
        <v>9</v>
      </c>
      <c r="E130" t="s">
        <v>5</v>
      </c>
      <c r="F130" t="s">
        <v>705</v>
      </c>
      <c r="G130" t="s">
        <v>171</v>
      </c>
      <c r="H130">
        <v>1</v>
      </c>
    </row>
    <row r="131" spans="1:8" x14ac:dyDescent="0.45">
      <c r="A131">
        <v>1.7</v>
      </c>
      <c r="B131" t="s">
        <v>698</v>
      </c>
      <c r="C131">
        <v>1201</v>
      </c>
      <c r="D131">
        <v>10</v>
      </c>
      <c r="E131" t="s">
        <v>7</v>
      </c>
      <c r="F131" t="s">
        <v>9</v>
      </c>
      <c r="H131">
        <v>1</v>
      </c>
    </row>
    <row r="132" spans="1:8" x14ac:dyDescent="0.45">
      <c r="A132">
        <v>1.7</v>
      </c>
      <c r="B132" t="s">
        <v>698</v>
      </c>
      <c r="C132">
        <v>1201</v>
      </c>
      <c r="D132">
        <v>11</v>
      </c>
      <c r="E132" t="s">
        <v>7</v>
      </c>
      <c r="F132" t="s">
        <v>9</v>
      </c>
      <c r="H132">
        <v>1</v>
      </c>
    </row>
    <row r="133" spans="1:8" x14ac:dyDescent="0.45">
      <c r="A133">
        <v>1.7</v>
      </c>
      <c r="B133" t="s">
        <v>698</v>
      </c>
      <c r="C133">
        <v>1201</v>
      </c>
      <c r="D133">
        <v>12</v>
      </c>
      <c r="E133" t="s">
        <v>5</v>
      </c>
      <c r="F133" t="s">
        <v>706</v>
      </c>
      <c r="H133">
        <v>1</v>
      </c>
    </row>
    <row r="134" spans="1:8" x14ac:dyDescent="0.45">
      <c r="A134">
        <v>1.7</v>
      </c>
      <c r="B134" t="s">
        <v>698</v>
      </c>
      <c r="C134">
        <v>1201</v>
      </c>
      <c r="D134">
        <v>13</v>
      </c>
      <c r="E134" t="s">
        <v>5</v>
      </c>
      <c r="F134" t="s">
        <v>707</v>
      </c>
      <c r="H134">
        <v>1</v>
      </c>
    </row>
    <row r="135" spans="1:8" x14ac:dyDescent="0.45">
      <c r="A135">
        <v>1.7</v>
      </c>
      <c r="B135" t="s">
        <v>698</v>
      </c>
      <c r="C135">
        <v>1201</v>
      </c>
      <c r="D135">
        <v>14</v>
      </c>
      <c r="E135" t="s">
        <v>5</v>
      </c>
      <c r="F135" t="s">
        <v>708</v>
      </c>
      <c r="H135">
        <v>1</v>
      </c>
    </row>
    <row r="136" spans="1:8" x14ac:dyDescent="0.45">
      <c r="A136">
        <v>1.7</v>
      </c>
      <c r="B136" t="s">
        <v>698</v>
      </c>
      <c r="C136">
        <v>801</v>
      </c>
      <c r="D136">
        <v>1</v>
      </c>
      <c r="E136" t="s">
        <v>18</v>
      </c>
      <c r="F136" t="s">
        <v>709</v>
      </c>
      <c r="H136">
        <v>1</v>
      </c>
    </row>
    <row r="137" spans="1:8" x14ac:dyDescent="0.45">
      <c r="A137">
        <v>1.7</v>
      </c>
      <c r="B137" t="s">
        <v>698</v>
      </c>
      <c r="C137">
        <v>801</v>
      </c>
      <c r="D137">
        <v>2</v>
      </c>
      <c r="E137" t="s">
        <v>5</v>
      </c>
      <c r="F137" t="s">
        <v>91</v>
      </c>
      <c r="H137">
        <v>1</v>
      </c>
    </row>
    <row r="138" spans="1:8" x14ac:dyDescent="0.45">
      <c r="A138">
        <v>1.7</v>
      </c>
      <c r="B138" t="s">
        <v>698</v>
      </c>
      <c r="C138">
        <v>801</v>
      </c>
      <c r="D138">
        <v>3</v>
      </c>
      <c r="E138" t="s">
        <v>5</v>
      </c>
      <c r="F138" t="s">
        <v>710</v>
      </c>
      <c r="H138">
        <v>1</v>
      </c>
    </row>
    <row r="139" spans="1:8" x14ac:dyDescent="0.45">
      <c r="A139">
        <v>1.7</v>
      </c>
      <c r="B139" t="s">
        <v>698</v>
      </c>
      <c r="C139">
        <v>801</v>
      </c>
      <c r="D139">
        <v>4</v>
      </c>
      <c r="E139" t="s">
        <v>5</v>
      </c>
      <c r="F139" t="s">
        <v>130</v>
      </c>
      <c r="H139">
        <v>1</v>
      </c>
    </row>
    <row r="140" spans="1:8" x14ac:dyDescent="0.45">
      <c r="A140">
        <v>1.7</v>
      </c>
      <c r="B140" t="s">
        <v>698</v>
      </c>
      <c r="C140">
        <v>801</v>
      </c>
      <c r="D140">
        <v>5</v>
      </c>
      <c r="E140" t="s">
        <v>5</v>
      </c>
      <c r="F140" t="s">
        <v>711</v>
      </c>
      <c r="H140">
        <v>1</v>
      </c>
    </row>
    <row r="141" spans="1:8" x14ac:dyDescent="0.45">
      <c r="A141">
        <v>1.7</v>
      </c>
      <c r="B141" t="s">
        <v>698</v>
      </c>
      <c r="C141">
        <v>801</v>
      </c>
      <c r="D141">
        <v>6</v>
      </c>
      <c r="E141" t="s">
        <v>5</v>
      </c>
      <c r="F141" t="s">
        <v>167</v>
      </c>
      <c r="H141">
        <v>1</v>
      </c>
    </row>
    <row r="142" spans="1:8" x14ac:dyDescent="0.45">
      <c r="A142">
        <v>1.7</v>
      </c>
      <c r="B142" t="s">
        <v>698</v>
      </c>
      <c r="C142">
        <v>801</v>
      </c>
      <c r="D142">
        <v>7</v>
      </c>
      <c r="E142" t="s">
        <v>5</v>
      </c>
      <c r="F142" t="s">
        <v>403</v>
      </c>
      <c r="G142" t="s">
        <v>171</v>
      </c>
      <c r="H142">
        <v>1</v>
      </c>
    </row>
    <row r="143" spans="1:8" x14ac:dyDescent="0.45">
      <c r="A143">
        <v>1.7</v>
      </c>
      <c r="B143" t="s">
        <v>698</v>
      </c>
      <c r="C143">
        <v>801</v>
      </c>
      <c r="D143">
        <v>8</v>
      </c>
      <c r="E143" t="s">
        <v>5</v>
      </c>
      <c r="F143" t="s">
        <v>90</v>
      </c>
      <c r="G143" t="s">
        <v>171</v>
      </c>
      <c r="H143">
        <v>1</v>
      </c>
    </row>
    <row r="144" spans="1:8" x14ac:dyDescent="0.45">
      <c r="A144">
        <v>1.7</v>
      </c>
      <c r="B144" t="s">
        <v>698</v>
      </c>
      <c r="C144">
        <v>801</v>
      </c>
      <c r="D144">
        <v>9</v>
      </c>
      <c r="E144" t="s">
        <v>5</v>
      </c>
      <c r="F144" t="s">
        <v>88</v>
      </c>
      <c r="G144" t="s">
        <v>171</v>
      </c>
      <c r="H144">
        <v>1</v>
      </c>
    </row>
    <row r="145" spans="1:8" x14ac:dyDescent="0.45">
      <c r="A145">
        <v>1.7</v>
      </c>
      <c r="B145" t="s">
        <v>698</v>
      </c>
      <c r="C145">
        <v>801</v>
      </c>
      <c r="D145">
        <v>10</v>
      </c>
      <c r="E145" t="s">
        <v>7</v>
      </c>
      <c r="F145" t="s">
        <v>381</v>
      </c>
      <c r="H145">
        <v>1</v>
      </c>
    </row>
    <row r="146" spans="1:8" x14ac:dyDescent="0.45">
      <c r="A146">
        <v>1.7</v>
      </c>
      <c r="B146" t="s">
        <v>698</v>
      </c>
      <c r="C146">
        <v>801</v>
      </c>
      <c r="D146">
        <v>11</v>
      </c>
      <c r="E146" t="s">
        <v>5</v>
      </c>
      <c r="F146" t="s">
        <v>501</v>
      </c>
      <c r="H146">
        <v>1</v>
      </c>
    </row>
    <row r="147" spans="1:8" x14ac:dyDescent="0.45">
      <c r="A147">
        <v>1.7</v>
      </c>
      <c r="B147" t="s">
        <v>698</v>
      </c>
      <c r="C147">
        <v>801</v>
      </c>
      <c r="D147">
        <v>12</v>
      </c>
      <c r="E147" t="s">
        <v>18</v>
      </c>
      <c r="F147" t="s">
        <v>46</v>
      </c>
      <c r="H147">
        <v>1</v>
      </c>
    </row>
    <row r="148" spans="1:8" x14ac:dyDescent="0.45">
      <c r="A148">
        <v>1.7</v>
      </c>
      <c r="B148" t="s">
        <v>698</v>
      </c>
      <c r="C148">
        <v>801</v>
      </c>
      <c r="D148">
        <v>13</v>
      </c>
      <c r="E148" t="s">
        <v>7</v>
      </c>
      <c r="F148" t="s">
        <v>9</v>
      </c>
      <c r="H148">
        <v>1</v>
      </c>
    </row>
    <row r="149" spans="1:8" x14ac:dyDescent="0.45">
      <c r="A149">
        <v>1.7</v>
      </c>
      <c r="D149">
        <v>1</v>
      </c>
      <c r="H149">
        <v>1</v>
      </c>
    </row>
    <row r="150" spans="1:8" x14ac:dyDescent="0.45">
      <c r="A150">
        <v>1.7</v>
      </c>
      <c r="D150">
        <v>2</v>
      </c>
      <c r="H150">
        <v>1</v>
      </c>
    </row>
    <row r="151" spans="1:8" x14ac:dyDescent="0.45">
      <c r="A151">
        <v>1.7</v>
      </c>
      <c r="D151">
        <v>3</v>
      </c>
      <c r="H151">
        <v>1</v>
      </c>
    </row>
    <row r="152" spans="1:8" x14ac:dyDescent="0.45">
      <c r="A152">
        <v>1.7</v>
      </c>
      <c r="D152">
        <v>4</v>
      </c>
      <c r="H152">
        <v>1</v>
      </c>
    </row>
    <row r="153" spans="1:8" x14ac:dyDescent="0.45">
      <c r="A153">
        <v>1.7</v>
      </c>
      <c r="D153">
        <v>5</v>
      </c>
      <c r="H153">
        <v>1</v>
      </c>
    </row>
    <row r="154" spans="1:8" x14ac:dyDescent="0.45">
      <c r="A154">
        <v>1.7</v>
      </c>
      <c r="D154">
        <v>6</v>
      </c>
      <c r="H154">
        <v>1</v>
      </c>
    </row>
    <row r="155" spans="1:8" x14ac:dyDescent="0.45">
      <c r="A155">
        <v>1.7</v>
      </c>
      <c r="D155">
        <v>7</v>
      </c>
      <c r="H155">
        <v>1</v>
      </c>
    </row>
    <row r="156" spans="1:8" x14ac:dyDescent="0.45">
      <c r="A156">
        <v>1.7</v>
      </c>
      <c r="D156">
        <v>8</v>
      </c>
      <c r="H156">
        <v>1</v>
      </c>
    </row>
    <row r="157" spans="1:8" x14ac:dyDescent="0.45">
      <c r="A157">
        <v>1.7</v>
      </c>
      <c r="D157">
        <v>9</v>
      </c>
      <c r="H157">
        <v>1</v>
      </c>
    </row>
    <row r="158" spans="1:8" x14ac:dyDescent="0.45">
      <c r="A158">
        <v>1.7</v>
      </c>
      <c r="D158">
        <v>10</v>
      </c>
      <c r="H158">
        <v>1</v>
      </c>
    </row>
    <row r="159" spans="1:8" x14ac:dyDescent="0.45">
      <c r="A159">
        <v>1.7</v>
      </c>
      <c r="D159">
        <v>11</v>
      </c>
      <c r="H159">
        <v>1</v>
      </c>
    </row>
    <row r="160" spans="1:8" x14ac:dyDescent="0.45">
      <c r="A160">
        <v>1.7</v>
      </c>
      <c r="D160">
        <v>12</v>
      </c>
      <c r="H160">
        <v>1</v>
      </c>
    </row>
    <row r="161" spans="1:8" x14ac:dyDescent="0.45">
      <c r="A161">
        <v>1.7</v>
      </c>
      <c r="D161">
        <v>13</v>
      </c>
      <c r="H161">
        <v>1</v>
      </c>
    </row>
    <row r="162" spans="1:8" x14ac:dyDescent="0.45">
      <c r="A162">
        <v>1.7</v>
      </c>
      <c r="D162">
        <v>14</v>
      </c>
      <c r="H162">
        <v>1</v>
      </c>
    </row>
    <row r="163" spans="1:8" x14ac:dyDescent="0.45">
      <c r="A163">
        <v>1.7</v>
      </c>
      <c r="D163">
        <v>15</v>
      </c>
      <c r="H163">
        <v>1</v>
      </c>
    </row>
    <row r="164" spans="1:8" x14ac:dyDescent="0.45">
      <c r="A164">
        <v>1.7</v>
      </c>
      <c r="D164">
        <v>16</v>
      </c>
      <c r="H164">
        <v>1</v>
      </c>
    </row>
    <row r="165" spans="1:8" x14ac:dyDescent="0.45">
      <c r="A165">
        <v>1.7</v>
      </c>
      <c r="D165">
        <v>17</v>
      </c>
      <c r="H165">
        <v>1</v>
      </c>
    </row>
    <row r="166" spans="1:8" x14ac:dyDescent="0.45">
      <c r="A166">
        <v>1.7</v>
      </c>
      <c r="H166">
        <v>1</v>
      </c>
    </row>
    <row r="167" spans="1:8" x14ac:dyDescent="0.45">
      <c r="A167">
        <v>1.7</v>
      </c>
      <c r="H167">
        <v>1</v>
      </c>
    </row>
    <row r="168" spans="1:8" x14ac:dyDescent="0.45">
      <c r="A168">
        <v>1.7</v>
      </c>
      <c r="H168">
        <v>1</v>
      </c>
    </row>
    <row r="169" spans="1:8" x14ac:dyDescent="0.45">
      <c r="A169">
        <v>1.7</v>
      </c>
      <c r="H169">
        <v>1</v>
      </c>
    </row>
    <row r="170" spans="1:8" x14ac:dyDescent="0.45">
      <c r="A170">
        <v>1.7</v>
      </c>
      <c r="H170">
        <v>1</v>
      </c>
    </row>
    <row r="171" spans="1:8" x14ac:dyDescent="0.45">
      <c r="A171">
        <v>1.7</v>
      </c>
      <c r="H171">
        <v>1</v>
      </c>
    </row>
    <row r="172" spans="1:8" x14ac:dyDescent="0.45">
      <c r="A172">
        <v>1.7</v>
      </c>
      <c r="H172">
        <v>1</v>
      </c>
    </row>
    <row r="173" spans="1:8" x14ac:dyDescent="0.45">
      <c r="A173">
        <v>1.7</v>
      </c>
      <c r="H173">
        <v>1</v>
      </c>
    </row>
    <row r="174" spans="1:8" x14ac:dyDescent="0.45">
      <c r="A174">
        <v>1.7</v>
      </c>
      <c r="H174">
        <v>1</v>
      </c>
    </row>
    <row r="175" spans="1:8" x14ac:dyDescent="0.45">
      <c r="A175">
        <v>1.7</v>
      </c>
      <c r="H175">
        <v>1</v>
      </c>
    </row>
    <row r="176" spans="1:8" x14ac:dyDescent="0.45">
      <c r="A176">
        <v>1.7</v>
      </c>
      <c r="H176">
        <v>1</v>
      </c>
    </row>
    <row r="177" spans="1:8" x14ac:dyDescent="0.45">
      <c r="A177">
        <v>1.7</v>
      </c>
      <c r="H177">
        <v>1</v>
      </c>
    </row>
    <row r="178" spans="1:8" x14ac:dyDescent="0.45">
      <c r="A178">
        <v>1.7</v>
      </c>
      <c r="H178">
        <v>1</v>
      </c>
    </row>
    <row r="179" spans="1:8" x14ac:dyDescent="0.45">
      <c r="A179">
        <v>1.7</v>
      </c>
      <c r="H179">
        <v>1</v>
      </c>
    </row>
    <row r="180" spans="1:8" x14ac:dyDescent="0.45">
      <c r="A180">
        <v>1.7</v>
      </c>
      <c r="H180">
        <v>1</v>
      </c>
    </row>
    <row r="181" spans="1:8" x14ac:dyDescent="0.45">
      <c r="A181">
        <v>1.7</v>
      </c>
      <c r="H181">
        <v>1</v>
      </c>
    </row>
    <row r="182" spans="1:8" x14ac:dyDescent="0.45">
      <c r="A182">
        <v>1.7</v>
      </c>
      <c r="H182">
        <v>1</v>
      </c>
    </row>
    <row r="183" spans="1:8" x14ac:dyDescent="0.45">
      <c r="A183">
        <v>1.7</v>
      </c>
      <c r="H183">
        <v>1</v>
      </c>
    </row>
    <row r="184" spans="1:8" x14ac:dyDescent="0.45">
      <c r="A184">
        <v>1.7</v>
      </c>
      <c r="H184">
        <v>1</v>
      </c>
    </row>
    <row r="185" spans="1:8" x14ac:dyDescent="0.45">
      <c r="A185">
        <v>1.7</v>
      </c>
      <c r="H185">
        <v>1</v>
      </c>
    </row>
    <row r="186" spans="1:8" x14ac:dyDescent="0.45">
      <c r="A186">
        <v>1.7</v>
      </c>
      <c r="H186">
        <v>1</v>
      </c>
    </row>
    <row r="187" spans="1:8" x14ac:dyDescent="0.45">
      <c r="A187">
        <v>1.7</v>
      </c>
      <c r="H187">
        <v>1</v>
      </c>
    </row>
    <row r="188" spans="1:8" x14ac:dyDescent="0.45">
      <c r="A188">
        <v>1.7</v>
      </c>
      <c r="H188">
        <v>1</v>
      </c>
    </row>
    <row r="189" spans="1:8" x14ac:dyDescent="0.45">
      <c r="A189">
        <v>1.7</v>
      </c>
      <c r="H189">
        <v>1</v>
      </c>
    </row>
    <row r="190" spans="1:8" x14ac:dyDescent="0.45">
      <c r="A190">
        <v>1.7</v>
      </c>
      <c r="H190">
        <v>1</v>
      </c>
    </row>
    <row r="191" spans="1:8" x14ac:dyDescent="0.45">
      <c r="A191">
        <v>1.7</v>
      </c>
      <c r="H191">
        <v>1</v>
      </c>
    </row>
    <row r="192" spans="1:8" x14ac:dyDescent="0.45">
      <c r="A192">
        <v>1.7</v>
      </c>
      <c r="H192">
        <v>1</v>
      </c>
    </row>
    <row r="193" spans="1:8" x14ac:dyDescent="0.45">
      <c r="A193">
        <v>1.7</v>
      </c>
      <c r="H193">
        <v>1</v>
      </c>
    </row>
    <row r="194" spans="1:8" x14ac:dyDescent="0.45">
      <c r="A194">
        <v>1.7</v>
      </c>
      <c r="H194">
        <v>1</v>
      </c>
    </row>
    <row r="195" spans="1:8" x14ac:dyDescent="0.45">
      <c r="A195">
        <v>1.7</v>
      </c>
      <c r="H195">
        <v>1</v>
      </c>
    </row>
    <row r="196" spans="1:8" x14ac:dyDescent="0.45">
      <c r="A196">
        <v>1.7</v>
      </c>
      <c r="H196">
        <v>1</v>
      </c>
    </row>
    <row r="197" spans="1:8" x14ac:dyDescent="0.45">
      <c r="A197">
        <v>1.7</v>
      </c>
      <c r="H197">
        <v>1</v>
      </c>
    </row>
    <row r="198" spans="1:8" x14ac:dyDescent="0.45">
      <c r="A198">
        <v>1.7</v>
      </c>
      <c r="H198">
        <v>1</v>
      </c>
    </row>
    <row r="199" spans="1:8" x14ac:dyDescent="0.45">
      <c r="A199">
        <v>1.7</v>
      </c>
      <c r="H199">
        <v>1</v>
      </c>
    </row>
    <row r="200" spans="1:8" x14ac:dyDescent="0.45">
      <c r="A200">
        <v>1.7</v>
      </c>
      <c r="H200">
        <v>1</v>
      </c>
    </row>
    <row r="201" spans="1:8" x14ac:dyDescent="0.45">
      <c r="A201">
        <v>1.7</v>
      </c>
      <c r="H201">
        <v>1</v>
      </c>
    </row>
    <row r="202" spans="1:8" x14ac:dyDescent="0.45">
      <c r="A202">
        <v>1.7</v>
      </c>
      <c r="H202">
        <v>1</v>
      </c>
    </row>
    <row r="203" spans="1:8" x14ac:dyDescent="0.45">
      <c r="A203">
        <v>1.7</v>
      </c>
      <c r="H203">
        <v>1</v>
      </c>
    </row>
    <row r="204" spans="1:8" x14ac:dyDescent="0.45">
      <c r="A204">
        <v>1.7</v>
      </c>
      <c r="H204">
        <v>1</v>
      </c>
    </row>
    <row r="205" spans="1:8" x14ac:dyDescent="0.45">
      <c r="A205">
        <v>1.7</v>
      </c>
      <c r="H205">
        <v>1</v>
      </c>
    </row>
    <row r="206" spans="1:8" x14ac:dyDescent="0.45">
      <c r="A206">
        <v>1.7</v>
      </c>
      <c r="H206">
        <v>1</v>
      </c>
    </row>
    <row r="207" spans="1:8" x14ac:dyDescent="0.45">
      <c r="A207">
        <v>1.7</v>
      </c>
      <c r="H207">
        <v>1</v>
      </c>
    </row>
    <row r="208" spans="1:8" x14ac:dyDescent="0.45">
      <c r="A208">
        <v>1.7</v>
      </c>
      <c r="H208">
        <v>1</v>
      </c>
    </row>
    <row r="209" spans="1:8" x14ac:dyDescent="0.45">
      <c r="A209">
        <v>1.7</v>
      </c>
      <c r="H209">
        <v>1</v>
      </c>
    </row>
    <row r="210" spans="1:8" x14ac:dyDescent="0.45">
      <c r="A210">
        <v>1.7</v>
      </c>
      <c r="H210">
        <v>1</v>
      </c>
    </row>
    <row r="211" spans="1:8" x14ac:dyDescent="0.45">
      <c r="A211">
        <v>1.7</v>
      </c>
      <c r="H211">
        <v>1</v>
      </c>
    </row>
    <row r="212" spans="1:8" x14ac:dyDescent="0.45">
      <c r="A212">
        <v>1.7</v>
      </c>
      <c r="H212">
        <v>1</v>
      </c>
    </row>
    <row r="213" spans="1:8" x14ac:dyDescent="0.45">
      <c r="A213">
        <v>1.7</v>
      </c>
      <c r="H213">
        <v>1</v>
      </c>
    </row>
    <row r="214" spans="1:8" x14ac:dyDescent="0.45">
      <c r="A214">
        <v>1.7</v>
      </c>
      <c r="H214">
        <v>1</v>
      </c>
    </row>
    <row r="215" spans="1:8" x14ac:dyDescent="0.45">
      <c r="A215">
        <v>1.7</v>
      </c>
      <c r="H215">
        <v>1</v>
      </c>
    </row>
    <row r="216" spans="1:8" x14ac:dyDescent="0.45">
      <c r="A216">
        <v>1.7</v>
      </c>
      <c r="H216">
        <v>1</v>
      </c>
    </row>
    <row r="217" spans="1:8" x14ac:dyDescent="0.45">
      <c r="A217">
        <v>1.7</v>
      </c>
      <c r="H217">
        <v>1</v>
      </c>
    </row>
    <row r="218" spans="1:8" x14ac:dyDescent="0.45">
      <c r="A218">
        <v>1.7</v>
      </c>
      <c r="H218">
        <v>1</v>
      </c>
    </row>
    <row r="219" spans="1:8" x14ac:dyDescent="0.45">
      <c r="A219">
        <v>1.7</v>
      </c>
      <c r="H219">
        <v>1</v>
      </c>
    </row>
    <row r="220" spans="1:8" x14ac:dyDescent="0.45">
      <c r="A220">
        <v>1.7</v>
      </c>
      <c r="H220">
        <v>1</v>
      </c>
    </row>
    <row r="221" spans="1:8" x14ac:dyDescent="0.45">
      <c r="A221">
        <v>1.7</v>
      </c>
      <c r="H221">
        <v>1</v>
      </c>
    </row>
    <row r="222" spans="1:8" x14ac:dyDescent="0.45">
      <c r="A222">
        <v>1.7</v>
      </c>
      <c r="H222">
        <v>1</v>
      </c>
    </row>
    <row r="223" spans="1:8" x14ac:dyDescent="0.45">
      <c r="A223">
        <v>1.7</v>
      </c>
      <c r="H223">
        <v>1</v>
      </c>
    </row>
    <row r="224" spans="1:8" x14ac:dyDescent="0.45">
      <c r="A224">
        <v>1.7</v>
      </c>
      <c r="H224">
        <v>1</v>
      </c>
    </row>
    <row r="225" spans="1:8" x14ac:dyDescent="0.45">
      <c r="A225">
        <v>1.7</v>
      </c>
      <c r="H225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218E-598A-4F19-A8AB-7CA74AA1E367}">
  <dimension ref="A1:M202"/>
  <sheetViews>
    <sheetView workbookViewId="0">
      <pane ySplit="3" topLeftCell="A119" activePane="bottomLeft" state="frozen"/>
      <selection pane="bottomLeft" activeCell="F143" sqref="F143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1.6</v>
      </c>
      <c r="B2" t="s">
        <v>236</v>
      </c>
      <c r="C2">
        <v>1</v>
      </c>
      <c r="D2">
        <v>1</v>
      </c>
      <c r="E2" t="s">
        <v>18</v>
      </c>
      <c r="F2" t="s">
        <v>108</v>
      </c>
      <c r="H2">
        <v>1</v>
      </c>
      <c r="I2" t="s">
        <v>5</v>
      </c>
      <c r="J2">
        <f>COUNTIFS(E:E,"*F*",H:H,1)</f>
        <v>75</v>
      </c>
      <c r="K2">
        <f>J2+J3</f>
        <v>104</v>
      </c>
      <c r="L2">
        <f>J2/K2</f>
        <v>0.72115384615384615</v>
      </c>
      <c r="M2">
        <f>SQRT(L2*L3/K2)</f>
        <v>4.397234449184214E-2</v>
      </c>
    </row>
    <row r="3" spans="1:13" x14ac:dyDescent="0.45">
      <c r="A3">
        <v>1.6</v>
      </c>
      <c r="B3" t="s">
        <v>236</v>
      </c>
      <c r="C3">
        <v>1</v>
      </c>
      <c r="D3">
        <v>2</v>
      </c>
      <c r="E3" t="s">
        <v>18</v>
      </c>
      <c r="F3" t="s">
        <v>108</v>
      </c>
      <c r="H3">
        <v>1</v>
      </c>
      <c r="I3" t="s">
        <v>18</v>
      </c>
      <c r="J3">
        <f>COUNTIFS(E:E,"*B*",H:H,1)</f>
        <v>29</v>
      </c>
      <c r="L3">
        <f>J3/K2</f>
        <v>0.27884615384615385</v>
      </c>
    </row>
    <row r="4" spans="1:13" x14ac:dyDescent="0.45">
      <c r="A4">
        <v>1.6</v>
      </c>
      <c r="B4" t="s">
        <v>236</v>
      </c>
      <c r="C4">
        <v>1</v>
      </c>
      <c r="D4">
        <v>3</v>
      </c>
      <c r="E4" t="s">
        <v>18</v>
      </c>
      <c r="F4" t="s">
        <v>237</v>
      </c>
      <c r="H4">
        <v>1</v>
      </c>
      <c r="I4" t="s">
        <v>7</v>
      </c>
      <c r="J4">
        <f>COUNTIFS(E:E,"*U*",H:H,1)</f>
        <v>37</v>
      </c>
    </row>
    <row r="5" spans="1:13" x14ac:dyDescent="0.45">
      <c r="A5">
        <v>1.6</v>
      </c>
      <c r="B5" t="s">
        <v>236</v>
      </c>
      <c r="C5">
        <v>1</v>
      </c>
      <c r="D5">
        <v>4</v>
      </c>
      <c r="E5" t="s">
        <v>5</v>
      </c>
      <c r="F5" t="s">
        <v>238</v>
      </c>
      <c r="H5">
        <v>1</v>
      </c>
    </row>
    <row r="6" spans="1:13" x14ac:dyDescent="0.45">
      <c r="A6">
        <v>1.6</v>
      </c>
      <c r="B6" t="s">
        <v>236</v>
      </c>
      <c r="C6">
        <v>1</v>
      </c>
      <c r="D6">
        <v>5</v>
      </c>
      <c r="E6" t="s">
        <v>5</v>
      </c>
      <c r="F6" t="s">
        <v>239</v>
      </c>
      <c r="H6">
        <v>1</v>
      </c>
    </row>
    <row r="7" spans="1:13" x14ac:dyDescent="0.45">
      <c r="A7">
        <v>1.6</v>
      </c>
      <c r="B7" t="s">
        <v>236</v>
      </c>
      <c r="C7">
        <v>1</v>
      </c>
      <c r="D7">
        <v>6</v>
      </c>
      <c r="E7" t="s">
        <v>5</v>
      </c>
      <c r="F7" t="s">
        <v>108</v>
      </c>
      <c r="H7">
        <v>1</v>
      </c>
    </row>
    <row r="8" spans="1:13" x14ac:dyDescent="0.45">
      <c r="A8">
        <v>1.6</v>
      </c>
      <c r="B8" t="s">
        <v>236</v>
      </c>
      <c r="C8">
        <v>1</v>
      </c>
      <c r="D8">
        <v>7</v>
      </c>
      <c r="E8" t="s">
        <v>5</v>
      </c>
      <c r="F8" t="s">
        <v>239</v>
      </c>
      <c r="G8" t="s">
        <v>171</v>
      </c>
      <c r="H8">
        <v>1</v>
      </c>
    </row>
    <row r="9" spans="1:13" x14ac:dyDescent="0.45">
      <c r="A9">
        <v>1.6</v>
      </c>
      <c r="B9" t="s">
        <v>236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1.6</v>
      </c>
      <c r="B10" t="s">
        <v>236</v>
      </c>
      <c r="C10">
        <v>1</v>
      </c>
      <c r="D10">
        <v>9</v>
      </c>
      <c r="E10" t="s">
        <v>5</v>
      </c>
      <c r="F10" t="s">
        <v>240</v>
      </c>
      <c r="H10">
        <v>1</v>
      </c>
    </row>
    <row r="11" spans="1:13" x14ac:dyDescent="0.45">
      <c r="A11">
        <v>1.6</v>
      </c>
      <c r="B11" t="s">
        <v>236</v>
      </c>
      <c r="C11">
        <v>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1.6</v>
      </c>
      <c r="B12" t="s">
        <v>236</v>
      </c>
      <c r="C12">
        <v>1</v>
      </c>
      <c r="D12">
        <v>11</v>
      </c>
      <c r="E12" t="s">
        <v>7</v>
      </c>
      <c r="F12" t="s">
        <v>9</v>
      </c>
      <c r="H12">
        <v>1</v>
      </c>
    </row>
    <row r="13" spans="1:13" x14ac:dyDescent="0.45">
      <c r="A13">
        <v>1.6</v>
      </c>
      <c r="B13" t="s">
        <v>236</v>
      </c>
      <c r="C13">
        <v>1</v>
      </c>
      <c r="D13">
        <v>12</v>
      </c>
      <c r="E13" t="s">
        <v>5</v>
      </c>
      <c r="F13" t="s">
        <v>108</v>
      </c>
      <c r="H13">
        <v>1</v>
      </c>
    </row>
    <row r="14" spans="1:13" x14ac:dyDescent="0.45">
      <c r="A14">
        <v>1.6</v>
      </c>
      <c r="B14" t="s">
        <v>236</v>
      </c>
      <c r="C14">
        <v>1</v>
      </c>
      <c r="D14">
        <v>13</v>
      </c>
      <c r="E14" t="s">
        <v>18</v>
      </c>
      <c r="F14" t="s">
        <v>239</v>
      </c>
      <c r="H14">
        <v>1</v>
      </c>
    </row>
    <row r="15" spans="1:13" x14ac:dyDescent="0.45">
      <c r="A15">
        <v>1.6</v>
      </c>
      <c r="B15" t="s">
        <v>236</v>
      </c>
      <c r="C15">
        <v>1</v>
      </c>
      <c r="D15">
        <v>14</v>
      </c>
      <c r="E15" t="s">
        <v>5</v>
      </c>
      <c r="F15" t="s">
        <v>240</v>
      </c>
      <c r="H15">
        <v>1</v>
      </c>
    </row>
    <row r="16" spans="1:13" x14ac:dyDescent="0.45">
      <c r="A16">
        <v>1.6</v>
      </c>
      <c r="B16" t="s">
        <v>236</v>
      </c>
      <c r="C16">
        <v>1</v>
      </c>
      <c r="D16">
        <v>15</v>
      </c>
      <c r="E16" t="s">
        <v>5</v>
      </c>
      <c r="F16" t="s">
        <v>241</v>
      </c>
      <c r="H16">
        <v>1</v>
      </c>
    </row>
    <row r="17" spans="1:8" x14ac:dyDescent="0.45">
      <c r="A17">
        <v>1.6</v>
      </c>
      <c r="B17" t="s">
        <v>236</v>
      </c>
      <c r="C17">
        <v>1</v>
      </c>
      <c r="D17">
        <v>16</v>
      </c>
      <c r="E17" t="s">
        <v>5</v>
      </c>
      <c r="F17" t="s">
        <v>108</v>
      </c>
      <c r="H17">
        <v>1</v>
      </c>
    </row>
    <row r="18" spans="1:8" x14ac:dyDescent="0.45">
      <c r="A18">
        <v>1.6</v>
      </c>
      <c r="B18" t="s">
        <v>236</v>
      </c>
      <c r="C18">
        <v>1</v>
      </c>
      <c r="D18">
        <v>17</v>
      </c>
      <c r="E18" t="s">
        <v>7</v>
      </c>
      <c r="F18" t="s">
        <v>9</v>
      </c>
      <c r="H18">
        <v>1</v>
      </c>
    </row>
    <row r="19" spans="1:8" x14ac:dyDescent="0.45">
      <c r="A19">
        <v>1.6</v>
      </c>
      <c r="B19" t="s">
        <v>236</v>
      </c>
      <c r="C19">
        <v>401</v>
      </c>
      <c r="D19">
        <v>1</v>
      </c>
      <c r="E19" t="s">
        <v>7</v>
      </c>
      <c r="F19" t="s">
        <v>9</v>
      </c>
      <c r="H19">
        <v>1</v>
      </c>
    </row>
    <row r="20" spans="1:8" x14ac:dyDescent="0.45">
      <c r="A20">
        <v>1.6</v>
      </c>
      <c r="B20" t="s">
        <v>236</v>
      </c>
      <c r="C20">
        <v>401</v>
      </c>
      <c r="D20">
        <v>2</v>
      </c>
      <c r="E20" t="s">
        <v>7</v>
      </c>
      <c r="F20" t="s">
        <v>9</v>
      </c>
      <c r="H20">
        <v>1</v>
      </c>
    </row>
    <row r="21" spans="1:8" x14ac:dyDescent="0.45">
      <c r="A21">
        <v>1.6</v>
      </c>
      <c r="B21" t="s">
        <v>236</v>
      </c>
      <c r="C21">
        <v>401</v>
      </c>
      <c r="D21">
        <v>3</v>
      </c>
      <c r="E21" t="s">
        <v>5</v>
      </c>
      <c r="F21" t="s">
        <v>242</v>
      </c>
      <c r="H21">
        <v>1</v>
      </c>
    </row>
    <row r="22" spans="1:8" x14ac:dyDescent="0.45">
      <c r="A22">
        <v>1.6</v>
      </c>
      <c r="B22" t="s">
        <v>236</v>
      </c>
      <c r="C22">
        <v>401</v>
      </c>
      <c r="D22">
        <v>4</v>
      </c>
      <c r="E22" t="s">
        <v>5</v>
      </c>
      <c r="F22" t="s">
        <v>243</v>
      </c>
      <c r="H22">
        <v>1</v>
      </c>
    </row>
    <row r="23" spans="1:8" x14ac:dyDescent="0.45">
      <c r="A23">
        <v>1.6</v>
      </c>
      <c r="B23" t="s">
        <v>236</v>
      </c>
      <c r="C23">
        <v>401</v>
      </c>
      <c r="D23">
        <v>5</v>
      </c>
      <c r="E23" t="s">
        <v>5</v>
      </c>
      <c r="F23" t="s">
        <v>214</v>
      </c>
      <c r="H23">
        <v>1</v>
      </c>
    </row>
    <row r="24" spans="1:8" x14ac:dyDescent="0.45">
      <c r="A24">
        <v>1.6</v>
      </c>
      <c r="B24" t="s">
        <v>236</v>
      </c>
      <c r="C24">
        <v>401</v>
      </c>
      <c r="D24">
        <v>6</v>
      </c>
      <c r="E24" t="s">
        <v>18</v>
      </c>
      <c r="F24" t="s">
        <v>246</v>
      </c>
      <c r="H24">
        <v>1</v>
      </c>
    </row>
    <row r="25" spans="1:8" x14ac:dyDescent="0.45">
      <c r="A25">
        <v>1.6</v>
      </c>
      <c r="B25" t="s">
        <v>236</v>
      </c>
      <c r="C25">
        <v>401</v>
      </c>
      <c r="D25">
        <v>7</v>
      </c>
      <c r="E25" t="s">
        <v>7</v>
      </c>
      <c r="F25" t="s">
        <v>9</v>
      </c>
      <c r="H25">
        <v>1</v>
      </c>
    </row>
    <row r="26" spans="1:8" x14ac:dyDescent="0.45">
      <c r="A26">
        <v>1.6</v>
      </c>
      <c r="B26" t="s">
        <v>236</v>
      </c>
      <c r="C26">
        <v>401</v>
      </c>
      <c r="D26">
        <v>8</v>
      </c>
      <c r="E26" t="s">
        <v>5</v>
      </c>
      <c r="F26" t="s">
        <v>247</v>
      </c>
      <c r="H26">
        <v>1</v>
      </c>
    </row>
    <row r="27" spans="1:8" x14ac:dyDescent="0.45">
      <c r="A27">
        <v>1.6</v>
      </c>
      <c r="B27" t="s">
        <v>236</v>
      </c>
      <c r="C27">
        <v>401</v>
      </c>
      <c r="D27">
        <v>9</v>
      </c>
      <c r="E27" t="s">
        <v>5</v>
      </c>
      <c r="F27" t="s">
        <v>119</v>
      </c>
      <c r="H27">
        <v>1</v>
      </c>
    </row>
    <row r="28" spans="1:8" x14ac:dyDescent="0.45">
      <c r="A28">
        <v>1.6</v>
      </c>
      <c r="B28" t="s">
        <v>236</v>
      </c>
      <c r="C28">
        <v>401</v>
      </c>
      <c r="D28">
        <v>10</v>
      </c>
      <c r="E28" t="s">
        <v>5</v>
      </c>
      <c r="F28" t="s">
        <v>248</v>
      </c>
      <c r="H28">
        <v>1</v>
      </c>
    </row>
    <row r="29" spans="1:8" x14ac:dyDescent="0.45">
      <c r="A29">
        <v>1.6</v>
      </c>
      <c r="B29" t="s">
        <v>236</v>
      </c>
      <c r="C29">
        <v>401</v>
      </c>
      <c r="D29">
        <v>11</v>
      </c>
      <c r="E29" t="s">
        <v>7</v>
      </c>
      <c r="F29" t="s">
        <v>10</v>
      </c>
      <c r="H29">
        <v>1</v>
      </c>
    </row>
    <row r="30" spans="1:8" x14ac:dyDescent="0.45">
      <c r="A30">
        <v>1.6</v>
      </c>
      <c r="B30" t="s">
        <v>236</v>
      </c>
      <c r="C30">
        <v>401</v>
      </c>
      <c r="D30">
        <v>12</v>
      </c>
      <c r="E30" t="s">
        <v>7</v>
      </c>
      <c r="F30" t="s">
        <v>10</v>
      </c>
      <c r="H30">
        <v>1</v>
      </c>
    </row>
    <row r="31" spans="1:8" x14ac:dyDescent="0.45">
      <c r="A31">
        <v>1.6</v>
      </c>
      <c r="B31" t="s">
        <v>236</v>
      </c>
      <c r="C31">
        <v>801</v>
      </c>
      <c r="D31">
        <v>1</v>
      </c>
      <c r="E31" t="s">
        <v>5</v>
      </c>
      <c r="F31" t="s">
        <v>249</v>
      </c>
      <c r="H31">
        <v>1</v>
      </c>
    </row>
    <row r="32" spans="1:8" x14ac:dyDescent="0.45">
      <c r="A32">
        <v>1.6</v>
      </c>
      <c r="B32" t="s">
        <v>236</v>
      </c>
      <c r="C32">
        <v>801</v>
      </c>
      <c r="D32">
        <v>2</v>
      </c>
      <c r="E32" t="s">
        <v>5</v>
      </c>
      <c r="F32" t="s">
        <v>250</v>
      </c>
      <c r="H32">
        <v>1</v>
      </c>
    </row>
    <row r="33" spans="1:8" x14ac:dyDescent="0.45">
      <c r="A33">
        <v>1.6</v>
      </c>
      <c r="B33" t="s">
        <v>236</v>
      </c>
      <c r="C33">
        <v>801</v>
      </c>
      <c r="D33">
        <v>3</v>
      </c>
      <c r="E33" t="s">
        <v>5</v>
      </c>
      <c r="F33" t="s">
        <v>251</v>
      </c>
      <c r="H33">
        <v>1</v>
      </c>
    </row>
    <row r="34" spans="1:8" x14ac:dyDescent="0.45">
      <c r="A34">
        <v>1.6</v>
      </c>
      <c r="B34" t="s">
        <v>236</v>
      </c>
      <c r="C34">
        <v>801</v>
      </c>
      <c r="D34">
        <v>4</v>
      </c>
      <c r="E34" t="s">
        <v>18</v>
      </c>
      <c r="F34" t="s">
        <v>252</v>
      </c>
      <c r="H34">
        <v>1</v>
      </c>
    </row>
    <row r="35" spans="1:8" x14ac:dyDescent="0.45">
      <c r="A35">
        <v>1.6</v>
      </c>
      <c r="B35" t="s">
        <v>236</v>
      </c>
      <c r="C35">
        <v>801</v>
      </c>
      <c r="D35">
        <v>5</v>
      </c>
      <c r="E35" t="s">
        <v>18</v>
      </c>
      <c r="F35" t="s">
        <v>253</v>
      </c>
      <c r="G35" t="s">
        <v>171</v>
      </c>
      <c r="H35">
        <v>1</v>
      </c>
    </row>
    <row r="36" spans="1:8" x14ac:dyDescent="0.45">
      <c r="A36">
        <v>1.6</v>
      </c>
      <c r="B36" t="s">
        <v>236</v>
      </c>
      <c r="C36">
        <v>801</v>
      </c>
      <c r="D36">
        <v>6</v>
      </c>
      <c r="E36" t="s">
        <v>5</v>
      </c>
      <c r="F36" t="s">
        <v>254</v>
      </c>
      <c r="H36">
        <v>1</v>
      </c>
    </row>
    <row r="37" spans="1:8" x14ac:dyDescent="0.45">
      <c r="A37">
        <v>1.6</v>
      </c>
      <c r="B37" t="s">
        <v>236</v>
      </c>
      <c r="C37">
        <v>801</v>
      </c>
      <c r="D37">
        <v>7</v>
      </c>
      <c r="E37" t="s">
        <v>5</v>
      </c>
      <c r="F37" t="s">
        <v>88</v>
      </c>
      <c r="H37">
        <v>1</v>
      </c>
    </row>
    <row r="38" spans="1:8" x14ac:dyDescent="0.45">
      <c r="A38">
        <v>1.6</v>
      </c>
      <c r="B38" t="s">
        <v>236</v>
      </c>
      <c r="C38">
        <v>801</v>
      </c>
      <c r="D38">
        <v>8</v>
      </c>
      <c r="E38" t="s">
        <v>7</v>
      </c>
      <c r="F38" t="s">
        <v>10</v>
      </c>
      <c r="H38">
        <v>1</v>
      </c>
    </row>
    <row r="39" spans="1:8" x14ac:dyDescent="0.45">
      <c r="A39">
        <v>1.6</v>
      </c>
      <c r="B39" t="s">
        <v>236</v>
      </c>
      <c r="C39">
        <v>801</v>
      </c>
      <c r="D39">
        <v>9</v>
      </c>
      <c r="E39" t="s">
        <v>7</v>
      </c>
      <c r="F39" t="s">
        <v>9</v>
      </c>
      <c r="H39">
        <v>1</v>
      </c>
    </row>
    <row r="40" spans="1:8" x14ac:dyDescent="0.45">
      <c r="A40">
        <v>1.6</v>
      </c>
      <c r="B40" t="s">
        <v>236</v>
      </c>
      <c r="C40">
        <v>801</v>
      </c>
      <c r="D40">
        <v>10</v>
      </c>
      <c r="E40" t="s">
        <v>5</v>
      </c>
      <c r="F40" t="s">
        <v>251</v>
      </c>
      <c r="H40">
        <v>1</v>
      </c>
    </row>
    <row r="41" spans="1:8" x14ac:dyDescent="0.45">
      <c r="A41">
        <v>1.6</v>
      </c>
      <c r="B41" t="s">
        <v>236</v>
      </c>
      <c r="C41">
        <v>801</v>
      </c>
      <c r="D41">
        <v>11</v>
      </c>
      <c r="E41" t="s">
        <v>5</v>
      </c>
      <c r="F41" t="s">
        <v>255</v>
      </c>
      <c r="H41">
        <v>1</v>
      </c>
    </row>
    <row r="42" spans="1:8" x14ac:dyDescent="0.45">
      <c r="A42">
        <v>1.6</v>
      </c>
      <c r="B42" t="s">
        <v>236</v>
      </c>
      <c r="C42">
        <v>801</v>
      </c>
      <c r="D42">
        <v>12</v>
      </c>
      <c r="E42" t="s">
        <v>5</v>
      </c>
      <c r="F42" t="s">
        <v>256</v>
      </c>
      <c r="H42">
        <v>1</v>
      </c>
    </row>
    <row r="43" spans="1:8" x14ac:dyDescent="0.45">
      <c r="A43">
        <v>1.6</v>
      </c>
      <c r="B43" t="s">
        <v>236</v>
      </c>
      <c r="C43">
        <v>801</v>
      </c>
      <c r="D43">
        <v>13</v>
      </c>
      <c r="E43" t="s">
        <v>5</v>
      </c>
      <c r="F43" t="s">
        <v>257</v>
      </c>
      <c r="G43" t="s">
        <v>171</v>
      </c>
      <c r="H43">
        <v>1</v>
      </c>
    </row>
    <row r="44" spans="1:8" x14ac:dyDescent="0.45">
      <c r="A44">
        <v>1.6</v>
      </c>
      <c r="B44" t="s">
        <v>236</v>
      </c>
      <c r="C44">
        <v>801</v>
      </c>
      <c r="D44">
        <v>14</v>
      </c>
      <c r="E44" t="s">
        <v>5</v>
      </c>
      <c r="F44" t="s">
        <v>258</v>
      </c>
      <c r="H44">
        <v>1</v>
      </c>
    </row>
    <row r="45" spans="1:8" x14ac:dyDescent="0.45">
      <c r="A45">
        <v>1.6</v>
      </c>
      <c r="B45" t="s">
        <v>236</v>
      </c>
      <c r="C45">
        <v>801</v>
      </c>
      <c r="D45">
        <v>15</v>
      </c>
      <c r="E45" t="s">
        <v>5</v>
      </c>
      <c r="F45" t="s">
        <v>259</v>
      </c>
      <c r="H45">
        <v>1</v>
      </c>
    </row>
    <row r="46" spans="1:8" x14ac:dyDescent="0.45">
      <c r="A46">
        <v>1.6</v>
      </c>
      <c r="B46" t="s">
        <v>236</v>
      </c>
      <c r="C46">
        <v>801</v>
      </c>
      <c r="D46">
        <v>16</v>
      </c>
      <c r="E46" t="s">
        <v>5</v>
      </c>
      <c r="F46" t="s">
        <v>260</v>
      </c>
      <c r="H46">
        <v>1</v>
      </c>
    </row>
    <row r="47" spans="1:8" x14ac:dyDescent="0.45">
      <c r="A47">
        <v>1.6</v>
      </c>
      <c r="B47" t="s">
        <v>236</v>
      </c>
      <c r="C47">
        <v>801</v>
      </c>
      <c r="D47">
        <v>17</v>
      </c>
      <c r="E47" t="s">
        <v>7</v>
      </c>
      <c r="F47" t="s">
        <v>9</v>
      </c>
      <c r="H47">
        <v>1</v>
      </c>
    </row>
    <row r="48" spans="1:8" x14ac:dyDescent="0.45">
      <c r="A48">
        <v>1.6</v>
      </c>
      <c r="B48" t="s">
        <v>236</v>
      </c>
      <c r="C48">
        <v>801</v>
      </c>
      <c r="D48">
        <v>18</v>
      </c>
      <c r="E48" t="s">
        <v>5</v>
      </c>
      <c r="F48" t="s">
        <v>261</v>
      </c>
      <c r="H48">
        <v>1</v>
      </c>
    </row>
    <row r="49" spans="1:8" x14ac:dyDescent="0.45">
      <c r="A49">
        <v>1.6</v>
      </c>
      <c r="B49" t="s">
        <v>236</v>
      </c>
      <c r="C49">
        <v>1201</v>
      </c>
      <c r="D49">
        <v>1</v>
      </c>
      <c r="E49" t="s">
        <v>7</v>
      </c>
      <c r="F49" t="s">
        <v>11</v>
      </c>
      <c r="H49">
        <v>1</v>
      </c>
    </row>
    <row r="50" spans="1:8" x14ac:dyDescent="0.45">
      <c r="A50">
        <v>1.6</v>
      </c>
      <c r="B50" t="s">
        <v>236</v>
      </c>
      <c r="C50">
        <v>1201</v>
      </c>
      <c r="D50">
        <v>2</v>
      </c>
      <c r="E50" t="s">
        <v>5</v>
      </c>
      <c r="F50" t="s">
        <v>225</v>
      </c>
      <c r="H50">
        <v>1</v>
      </c>
    </row>
    <row r="51" spans="1:8" x14ac:dyDescent="0.45">
      <c r="A51">
        <v>1.6</v>
      </c>
      <c r="B51" t="s">
        <v>236</v>
      </c>
      <c r="C51">
        <v>1201</v>
      </c>
      <c r="D51">
        <v>3</v>
      </c>
      <c r="E51" t="s">
        <v>18</v>
      </c>
      <c r="F51" t="s">
        <v>262</v>
      </c>
      <c r="G51" t="s">
        <v>171</v>
      </c>
      <c r="H51">
        <v>1</v>
      </c>
    </row>
    <row r="52" spans="1:8" x14ac:dyDescent="0.45">
      <c r="A52">
        <v>1.6</v>
      </c>
      <c r="B52" t="s">
        <v>236</v>
      </c>
      <c r="C52">
        <v>1201</v>
      </c>
      <c r="D52">
        <v>4</v>
      </c>
      <c r="E52" t="s">
        <v>18</v>
      </c>
      <c r="F52" t="s">
        <v>263</v>
      </c>
      <c r="H52">
        <v>1</v>
      </c>
    </row>
    <row r="53" spans="1:8" x14ac:dyDescent="0.45">
      <c r="A53">
        <v>1.6</v>
      </c>
      <c r="B53" t="s">
        <v>236</v>
      </c>
      <c r="C53">
        <v>1201</v>
      </c>
      <c r="D53">
        <v>5</v>
      </c>
      <c r="E53" t="s">
        <v>5</v>
      </c>
      <c r="F53" t="s">
        <v>187</v>
      </c>
      <c r="G53" t="s">
        <v>171</v>
      </c>
      <c r="H53">
        <v>1</v>
      </c>
    </row>
    <row r="54" spans="1:8" x14ac:dyDescent="0.45">
      <c r="A54">
        <v>1.6</v>
      </c>
      <c r="B54" t="s">
        <v>236</v>
      </c>
      <c r="C54">
        <v>1201</v>
      </c>
      <c r="D54">
        <v>6</v>
      </c>
      <c r="E54" t="s">
        <v>5</v>
      </c>
      <c r="F54" t="s">
        <v>49</v>
      </c>
      <c r="G54" t="s">
        <v>171</v>
      </c>
      <c r="H54">
        <v>1</v>
      </c>
    </row>
    <row r="55" spans="1:8" x14ac:dyDescent="0.45">
      <c r="A55">
        <v>1.6</v>
      </c>
      <c r="B55" t="s">
        <v>236</v>
      </c>
      <c r="C55">
        <v>1201</v>
      </c>
      <c r="D55">
        <v>7</v>
      </c>
      <c r="E55" t="s">
        <v>7</v>
      </c>
      <c r="F55" t="s">
        <v>10</v>
      </c>
      <c r="H55">
        <v>1</v>
      </c>
    </row>
    <row r="56" spans="1:8" x14ac:dyDescent="0.45">
      <c r="A56">
        <v>1.6</v>
      </c>
      <c r="B56" t="s">
        <v>236</v>
      </c>
      <c r="C56">
        <v>1201</v>
      </c>
      <c r="D56">
        <v>8</v>
      </c>
      <c r="E56" t="s">
        <v>7</v>
      </c>
      <c r="F56" t="s">
        <v>10</v>
      </c>
      <c r="H56">
        <v>1</v>
      </c>
    </row>
    <row r="57" spans="1:8" x14ac:dyDescent="0.45">
      <c r="A57">
        <v>1.6</v>
      </c>
      <c r="B57" t="s">
        <v>236</v>
      </c>
      <c r="C57">
        <v>1201</v>
      </c>
      <c r="D57">
        <v>9</v>
      </c>
      <c r="E57" t="s">
        <v>7</v>
      </c>
      <c r="F57" t="s">
        <v>9</v>
      </c>
      <c r="H57">
        <v>1</v>
      </c>
    </row>
    <row r="58" spans="1:8" x14ac:dyDescent="0.45">
      <c r="A58">
        <v>1.6</v>
      </c>
      <c r="B58" t="s">
        <v>236</v>
      </c>
      <c r="C58">
        <v>1201</v>
      </c>
      <c r="D58">
        <v>10</v>
      </c>
      <c r="E58" t="s">
        <v>7</v>
      </c>
      <c r="F58" t="s">
        <v>9</v>
      </c>
      <c r="H58">
        <v>1</v>
      </c>
    </row>
    <row r="59" spans="1:8" x14ac:dyDescent="0.45">
      <c r="A59">
        <v>1.6</v>
      </c>
      <c r="B59" t="s">
        <v>236</v>
      </c>
      <c r="C59">
        <v>1201</v>
      </c>
      <c r="D59">
        <v>11</v>
      </c>
      <c r="E59" t="s">
        <v>7</v>
      </c>
      <c r="F59" t="s">
        <v>11</v>
      </c>
      <c r="H59">
        <v>1</v>
      </c>
    </row>
    <row r="60" spans="1:8" x14ac:dyDescent="0.45">
      <c r="A60">
        <v>1.6</v>
      </c>
      <c r="B60" t="s">
        <v>236</v>
      </c>
      <c r="C60">
        <v>1201</v>
      </c>
      <c r="D60">
        <v>12</v>
      </c>
      <c r="E60" t="s">
        <v>7</v>
      </c>
      <c r="F60" t="s">
        <v>9</v>
      </c>
      <c r="H60">
        <v>1</v>
      </c>
    </row>
    <row r="61" spans="1:8" x14ac:dyDescent="0.45">
      <c r="A61">
        <v>1.6</v>
      </c>
      <c r="B61" t="s">
        <v>236</v>
      </c>
      <c r="C61">
        <v>1601</v>
      </c>
      <c r="D61">
        <v>1</v>
      </c>
      <c r="E61" t="s">
        <v>5</v>
      </c>
      <c r="F61" t="s">
        <v>264</v>
      </c>
      <c r="H61">
        <v>1</v>
      </c>
    </row>
    <row r="62" spans="1:8" x14ac:dyDescent="0.45">
      <c r="A62">
        <v>1.6</v>
      </c>
      <c r="B62" t="s">
        <v>236</v>
      </c>
      <c r="C62">
        <v>1601</v>
      </c>
      <c r="D62">
        <v>2</v>
      </c>
      <c r="E62" t="s">
        <v>5</v>
      </c>
      <c r="F62" t="s">
        <v>265</v>
      </c>
      <c r="G62" t="s">
        <v>171</v>
      </c>
      <c r="H62">
        <v>1</v>
      </c>
    </row>
    <row r="63" spans="1:8" x14ac:dyDescent="0.45">
      <c r="A63">
        <v>1.6</v>
      </c>
      <c r="B63" t="s">
        <v>236</v>
      </c>
      <c r="C63">
        <v>1601</v>
      </c>
      <c r="D63">
        <v>3</v>
      </c>
      <c r="E63" t="s">
        <v>18</v>
      </c>
      <c r="F63" t="s">
        <v>233</v>
      </c>
      <c r="H63">
        <v>1</v>
      </c>
    </row>
    <row r="64" spans="1:8" x14ac:dyDescent="0.45">
      <c r="A64">
        <v>1.6</v>
      </c>
      <c r="B64" t="s">
        <v>236</v>
      </c>
      <c r="C64">
        <v>1601</v>
      </c>
      <c r="D64">
        <v>4</v>
      </c>
      <c r="E64" t="s">
        <v>18</v>
      </c>
      <c r="F64" t="s">
        <v>65</v>
      </c>
      <c r="G64" t="s">
        <v>171</v>
      </c>
      <c r="H64">
        <v>1</v>
      </c>
    </row>
    <row r="65" spans="1:8" x14ac:dyDescent="0.45">
      <c r="A65">
        <v>1.6</v>
      </c>
      <c r="B65" t="s">
        <v>236</v>
      </c>
      <c r="C65">
        <v>1601</v>
      </c>
      <c r="D65">
        <v>5</v>
      </c>
      <c r="E65" t="s">
        <v>5</v>
      </c>
      <c r="F65" t="s">
        <v>65</v>
      </c>
      <c r="H65">
        <v>1</v>
      </c>
    </row>
    <row r="66" spans="1:8" x14ac:dyDescent="0.45">
      <c r="A66">
        <v>1.6</v>
      </c>
      <c r="B66" t="s">
        <v>236</v>
      </c>
      <c r="C66">
        <v>1601</v>
      </c>
      <c r="D66">
        <v>6</v>
      </c>
      <c r="E66" t="s">
        <v>5</v>
      </c>
      <c r="F66" t="s">
        <v>198</v>
      </c>
      <c r="H66">
        <v>1</v>
      </c>
    </row>
    <row r="67" spans="1:8" x14ac:dyDescent="0.45">
      <c r="A67">
        <v>1.6</v>
      </c>
      <c r="B67" t="s">
        <v>236</v>
      </c>
      <c r="C67">
        <v>1601</v>
      </c>
      <c r="D67">
        <v>7</v>
      </c>
      <c r="E67" t="s">
        <v>5</v>
      </c>
      <c r="F67" t="s">
        <v>268</v>
      </c>
      <c r="H67">
        <v>1</v>
      </c>
    </row>
    <row r="68" spans="1:8" x14ac:dyDescent="0.45">
      <c r="A68">
        <v>1.6</v>
      </c>
      <c r="B68" t="s">
        <v>236</v>
      </c>
      <c r="C68">
        <v>1601</v>
      </c>
      <c r="D68">
        <v>8</v>
      </c>
      <c r="E68" t="s">
        <v>7</v>
      </c>
      <c r="F68" t="s">
        <v>9</v>
      </c>
      <c r="H68">
        <v>1</v>
      </c>
    </row>
    <row r="69" spans="1:8" x14ac:dyDescent="0.45">
      <c r="A69">
        <v>1.6</v>
      </c>
      <c r="B69" t="s">
        <v>236</v>
      </c>
      <c r="C69">
        <v>1601</v>
      </c>
      <c r="D69">
        <v>9</v>
      </c>
      <c r="E69" t="s">
        <v>7</v>
      </c>
      <c r="F69" t="s">
        <v>10</v>
      </c>
      <c r="H69">
        <v>1</v>
      </c>
    </row>
    <row r="70" spans="1:8" x14ac:dyDescent="0.45">
      <c r="A70">
        <v>1.6</v>
      </c>
      <c r="B70" t="s">
        <v>236</v>
      </c>
      <c r="C70">
        <v>1601</v>
      </c>
      <c r="D70">
        <v>10</v>
      </c>
      <c r="E70" t="s">
        <v>18</v>
      </c>
      <c r="F70" t="s">
        <v>269</v>
      </c>
      <c r="H70">
        <v>1</v>
      </c>
    </row>
    <row r="71" spans="1:8" x14ac:dyDescent="0.45">
      <c r="A71">
        <v>1.6</v>
      </c>
      <c r="B71" t="s">
        <v>236</v>
      </c>
      <c r="C71">
        <v>1601</v>
      </c>
      <c r="D71">
        <v>11</v>
      </c>
      <c r="E71" t="s">
        <v>5</v>
      </c>
      <c r="F71" t="s">
        <v>61</v>
      </c>
      <c r="H71">
        <v>1</v>
      </c>
    </row>
    <row r="72" spans="1:8" x14ac:dyDescent="0.45">
      <c r="A72">
        <v>1.6</v>
      </c>
      <c r="B72" t="s">
        <v>236</v>
      </c>
      <c r="C72">
        <v>1601</v>
      </c>
      <c r="D72">
        <v>12</v>
      </c>
      <c r="E72" t="s">
        <v>7</v>
      </c>
      <c r="F72" t="s">
        <v>11</v>
      </c>
      <c r="H72">
        <v>1</v>
      </c>
    </row>
    <row r="73" spans="1:8" x14ac:dyDescent="0.45">
      <c r="A73">
        <v>1.6</v>
      </c>
      <c r="B73" t="s">
        <v>236</v>
      </c>
      <c r="C73">
        <v>1601</v>
      </c>
      <c r="D73">
        <v>13</v>
      </c>
      <c r="E73" t="s">
        <v>5</v>
      </c>
      <c r="F73" t="s">
        <v>193</v>
      </c>
      <c r="H73">
        <v>1</v>
      </c>
    </row>
    <row r="74" spans="1:8" x14ac:dyDescent="0.45">
      <c r="A74">
        <v>1.6</v>
      </c>
      <c r="B74" t="s">
        <v>658</v>
      </c>
      <c r="C74">
        <v>1601</v>
      </c>
      <c r="D74">
        <v>1</v>
      </c>
      <c r="E74" t="s">
        <v>5</v>
      </c>
      <c r="F74" t="s">
        <v>534</v>
      </c>
      <c r="H74">
        <v>1</v>
      </c>
    </row>
    <row r="75" spans="1:8" x14ac:dyDescent="0.45">
      <c r="A75">
        <v>1.6</v>
      </c>
      <c r="B75" t="s">
        <v>658</v>
      </c>
      <c r="C75">
        <v>1601</v>
      </c>
      <c r="D75">
        <v>2</v>
      </c>
      <c r="E75" t="s">
        <v>5</v>
      </c>
      <c r="F75" t="s">
        <v>139</v>
      </c>
      <c r="G75" t="s">
        <v>171</v>
      </c>
      <c r="H75">
        <v>1</v>
      </c>
    </row>
    <row r="76" spans="1:8" x14ac:dyDescent="0.45">
      <c r="A76">
        <v>1.6</v>
      </c>
      <c r="B76" t="s">
        <v>658</v>
      </c>
      <c r="C76">
        <v>1601</v>
      </c>
      <c r="D76">
        <v>3</v>
      </c>
      <c r="E76" t="s">
        <v>5</v>
      </c>
      <c r="F76" t="s">
        <v>139</v>
      </c>
      <c r="H76">
        <v>1</v>
      </c>
    </row>
    <row r="77" spans="1:8" x14ac:dyDescent="0.45">
      <c r="A77">
        <v>1.6</v>
      </c>
      <c r="B77" t="s">
        <v>658</v>
      </c>
      <c r="C77">
        <v>1601</v>
      </c>
      <c r="D77">
        <v>4</v>
      </c>
      <c r="E77" t="s">
        <v>5</v>
      </c>
      <c r="F77" t="s">
        <v>532</v>
      </c>
      <c r="H77">
        <v>1</v>
      </c>
    </row>
    <row r="78" spans="1:8" x14ac:dyDescent="0.45">
      <c r="A78">
        <v>1.6</v>
      </c>
      <c r="B78" t="s">
        <v>658</v>
      </c>
      <c r="C78">
        <v>1601</v>
      </c>
      <c r="D78">
        <v>5</v>
      </c>
      <c r="E78" t="s">
        <v>18</v>
      </c>
      <c r="F78" t="s">
        <v>659</v>
      </c>
      <c r="H78">
        <v>1</v>
      </c>
    </row>
    <row r="79" spans="1:8" x14ac:dyDescent="0.45">
      <c r="A79">
        <v>1.6</v>
      </c>
      <c r="B79" t="s">
        <v>658</v>
      </c>
      <c r="C79">
        <v>1601</v>
      </c>
      <c r="D79">
        <v>6</v>
      </c>
      <c r="E79" t="s">
        <v>5</v>
      </c>
      <c r="F79" t="s">
        <v>305</v>
      </c>
      <c r="G79" t="s">
        <v>171</v>
      </c>
      <c r="H79">
        <v>1</v>
      </c>
    </row>
    <row r="80" spans="1:8" x14ac:dyDescent="0.45">
      <c r="A80">
        <v>1.6</v>
      </c>
      <c r="B80" t="s">
        <v>658</v>
      </c>
      <c r="C80">
        <v>1601</v>
      </c>
      <c r="D80">
        <v>7</v>
      </c>
      <c r="E80" t="s">
        <v>5</v>
      </c>
      <c r="F80" t="s">
        <v>660</v>
      </c>
      <c r="H80">
        <v>1</v>
      </c>
    </row>
    <row r="81" spans="1:8" x14ac:dyDescent="0.45">
      <c r="A81">
        <v>1.6</v>
      </c>
      <c r="B81" t="s">
        <v>658</v>
      </c>
      <c r="C81">
        <v>1601</v>
      </c>
      <c r="D81">
        <v>8</v>
      </c>
      <c r="E81" t="s">
        <v>7</v>
      </c>
      <c r="F81" t="s">
        <v>9</v>
      </c>
      <c r="H81">
        <v>1</v>
      </c>
    </row>
    <row r="82" spans="1:8" x14ac:dyDescent="0.45">
      <c r="A82">
        <v>1.6</v>
      </c>
      <c r="B82" t="s">
        <v>658</v>
      </c>
      <c r="C82">
        <v>1601</v>
      </c>
      <c r="D82">
        <v>9</v>
      </c>
      <c r="E82" t="s">
        <v>7</v>
      </c>
      <c r="F82" t="s">
        <v>661</v>
      </c>
      <c r="H82">
        <v>1</v>
      </c>
    </row>
    <row r="83" spans="1:8" x14ac:dyDescent="0.45">
      <c r="A83">
        <v>1.6</v>
      </c>
      <c r="B83" t="s">
        <v>658</v>
      </c>
      <c r="C83">
        <v>1601</v>
      </c>
      <c r="D83">
        <v>10</v>
      </c>
      <c r="E83" t="s">
        <v>5</v>
      </c>
      <c r="F83" t="s">
        <v>139</v>
      </c>
      <c r="H83">
        <v>1</v>
      </c>
    </row>
    <row r="84" spans="1:8" x14ac:dyDescent="0.45">
      <c r="A84">
        <v>1.6</v>
      </c>
      <c r="B84" t="s">
        <v>658</v>
      </c>
      <c r="C84">
        <v>1601</v>
      </c>
      <c r="D84">
        <v>11</v>
      </c>
      <c r="E84" t="s">
        <v>18</v>
      </c>
      <c r="F84" t="s">
        <v>139</v>
      </c>
      <c r="H84">
        <v>1</v>
      </c>
    </row>
    <row r="85" spans="1:8" x14ac:dyDescent="0.45">
      <c r="A85">
        <v>1.6</v>
      </c>
      <c r="B85" t="s">
        <v>658</v>
      </c>
      <c r="C85">
        <v>1601</v>
      </c>
      <c r="D85">
        <v>12</v>
      </c>
      <c r="E85" t="s">
        <v>5</v>
      </c>
      <c r="F85" t="s">
        <v>340</v>
      </c>
      <c r="H85">
        <v>1</v>
      </c>
    </row>
    <row r="86" spans="1:8" x14ac:dyDescent="0.45">
      <c r="A86">
        <v>1.6</v>
      </c>
      <c r="B86" t="s">
        <v>658</v>
      </c>
      <c r="C86">
        <v>1601</v>
      </c>
      <c r="D86">
        <v>13</v>
      </c>
      <c r="E86" t="s">
        <v>5</v>
      </c>
      <c r="F86" t="s">
        <v>64</v>
      </c>
      <c r="H86">
        <v>1</v>
      </c>
    </row>
    <row r="87" spans="1:8" x14ac:dyDescent="0.45">
      <c r="A87">
        <v>1.6</v>
      </c>
      <c r="B87" t="s">
        <v>658</v>
      </c>
      <c r="C87">
        <v>1601</v>
      </c>
      <c r="D87">
        <v>14</v>
      </c>
      <c r="E87" t="s">
        <v>5</v>
      </c>
      <c r="F87" t="s">
        <v>662</v>
      </c>
      <c r="H87">
        <v>1</v>
      </c>
    </row>
    <row r="88" spans="1:8" x14ac:dyDescent="0.45">
      <c r="A88">
        <v>1.6</v>
      </c>
      <c r="B88" t="s">
        <v>658</v>
      </c>
      <c r="C88">
        <v>1601</v>
      </c>
      <c r="D88">
        <v>15</v>
      </c>
      <c r="E88" t="s">
        <v>18</v>
      </c>
      <c r="F88" t="s">
        <v>64</v>
      </c>
      <c r="H88">
        <v>1</v>
      </c>
    </row>
    <row r="89" spans="1:8" x14ac:dyDescent="0.45">
      <c r="A89">
        <v>1.6</v>
      </c>
      <c r="B89" t="s">
        <v>658</v>
      </c>
      <c r="C89">
        <v>1601</v>
      </c>
      <c r="D89">
        <v>16</v>
      </c>
      <c r="E89" t="s">
        <v>18</v>
      </c>
      <c r="F89" t="s">
        <v>530</v>
      </c>
      <c r="H89">
        <v>1</v>
      </c>
    </row>
    <row r="90" spans="1:8" x14ac:dyDescent="0.45">
      <c r="A90">
        <v>1.6</v>
      </c>
      <c r="B90" t="s">
        <v>658</v>
      </c>
      <c r="C90">
        <v>1201</v>
      </c>
      <c r="D90">
        <v>1</v>
      </c>
      <c r="E90" t="s">
        <v>5</v>
      </c>
      <c r="F90" t="s">
        <v>593</v>
      </c>
      <c r="H90">
        <v>1</v>
      </c>
    </row>
    <row r="91" spans="1:8" x14ac:dyDescent="0.45">
      <c r="A91">
        <v>1.6</v>
      </c>
      <c r="B91" t="s">
        <v>658</v>
      </c>
      <c r="C91">
        <v>1201</v>
      </c>
      <c r="D91">
        <v>2</v>
      </c>
      <c r="E91" t="s">
        <v>5</v>
      </c>
      <c r="F91" t="s">
        <v>486</v>
      </c>
      <c r="H91">
        <v>1</v>
      </c>
    </row>
    <row r="92" spans="1:8" x14ac:dyDescent="0.45">
      <c r="A92">
        <v>1.6</v>
      </c>
      <c r="B92" t="s">
        <v>658</v>
      </c>
      <c r="C92">
        <v>1201</v>
      </c>
      <c r="D92">
        <v>3</v>
      </c>
      <c r="E92" t="s">
        <v>5</v>
      </c>
      <c r="F92" t="s">
        <v>664</v>
      </c>
      <c r="H92">
        <v>1</v>
      </c>
    </row>
    <row r="93" spans="1:8" x14ac:dyDescent="0.45">
      <c r="A93">
        <v>1.6</v>
      </c>
      <c r="B93" t="s">
        <v>658</v>
      </c>
      <c r="C93">
        <v>1201</v>
      </c>
      <c r="D93">
        <v>4</v>
      </c>
      <c r="E93" t="s">
        <v>7</v>
      </c>
      <c r="F93" t="s">
        <v>9</v>
      </c>
      <c r="H93">
        <v>1</v>
      </c>
    </row>
    <row r="94" spans="1:8" x14ac:dyDescent="0.45">
      <c r="A94">
        <v>1.6</v>
      </c>
      <c r="B94" t="s">
        <v>658</v>
      </c>
      <c r="C94">
        <v>1201</v>
      </c>
      <c r="D94">
        <v>5</v>
      </c>
      <c r="E94" t="s">
        <v>18</v>
      </c>
      <c r="F94" t="s">
        <v>57</v>
      </c>
      <c r="H94">
        <v>1</v>
      </c>
    </row>
    <row r="95" spans="1:8" x14ac:dyDescent="0.45">
      <c r="A95">
        <v>1.6</v>
      </c>
      <c r="B95" t="s">
        <v>658</v>
      </c>
      <c r="C95">
        <v>1201</v>
      </c>
      <c r="D95">
        <v>6</v>
      </c>
      <c r="E95" t="s">
        <v>5</v>
      </c>
      <c r="F95" t="s">
        <v>416</v>
      </c>
      <c r="H95">
        <v>1</v>
      </c>
    </row>
    <row r="96" spans="1:8" x14ac:dyDescent="0.45">
      <c r="A96">
        <v>1.6</v>
      </c>
      <c r="B96" t="s">
        <v>658</v>
      </c>
      <c r="C96">
        <v>1201</v>
      </c>
      <c r="D96">
        <v>7</v>
      </c>
      <c r="E96" t="s">
        <v>7</v>
      </c>
      <c r="F96" t="s">
        <v>10</v>
      </c>
      <c r="H96">
        <v>1</v>
      </c>
    </row>
    <row r="97" spans="1:8" x14ac:dyDescent="0.45">
      <c r="A97">
        <v>1.6</v>
      </c>
      <c r="B97" t="s">
        <v>658</v>
      </c>
      <c r="C97">
        <v>1201</v>
      </c>
      <c r="D97">
        <v>8</v>
      </c>
      <c r="E97" t="s">
        <v>7</v>
      </c>
      <c r="F97" t="s">
        <v>9</v>
      </c>
      <c r="H97">
        <v>1</v>
      </c>
    </row>
    <row r="98" spans="1:8" x14ac:dyDescent="0.45">
      <c r="A98">
        <v>1.6</v>
      </c>
      <c r="B98" t="s">
        <v>658</v>
      </c>
      <c r="C98">
        <v>1201</v>
      </c>
      <c r="D98">
        <v>9</v>
      </c>
      <c r="E98" t="s">
        <v>5</v>
      </c>
      <c r="F98" t="s">
        <v>330</v>
      </c>
      <c r="G98" t="s">
        <v>171</v>
      </c>
      <c r="H98">
        <v>1</v>
      </c>
    </row>
    <row r="99" spans="1:8" x14ac:dyDescent="0.45">
      <c r="A99">
        <v>1.6</v>
      </c>
      <c r="B99" t="s">
        <v>658</v>
      </c>
      <c r="C99">
        <v>1201</v>
      </c>
      <c r="D99">
        <v>10</v>
      </c>
      <c r="E99" t="s">
        <v>5</v>
      </c>
      <c r="F99" t="s">
        <v>420</v>
      </c>
      <c r="H99">
        <v>1</v>
      </c>
    </row>
    <row r="100" spans="1:8" x14ac:dyDescent="0.45">
      <c r="A100">
        <v>1.6</v>
      </c>
      <c r="B100" t="s">
        <v>658</v>
      </c>
      <c r="C100">
        <v>1201</v>
      </c>
      <c r="D100">
        <v>11</v>
      </c>
      <c r="E100" t="s">
        <v>18</v>
      </c>
      <c r="F100" t="s">
        <v>665</v>
      </c>
      <c r="H100">
        <v>1</v>
      </c>
    </row>
    <row r="101" spans="1:8" x14ac:dyDescent="0.45">
      <c r="A101">
        <v>1.6</v>
      </c>
      <c r="B101" t="s">
        <v>658</v>
      </c>
      <c r="C101">
        <v>1201</v>
      </c>
      <c r="D101">
        <v>12</v>
      </c>
      <c r="E101" t="s">
        <v>18</v>
      </c>
      <c r="F101" t="s">
        <v>336</v>
      </c>
      <c r="H101">
        <v>1</v>
      </c>
    </row>
    <row r="102" spans="1:8" x14ac:dyDescent="0.45">
      <c r="A102">
        <v>1.6</v>
      </c>
      <c r="B102" t="s">
        <v>658</v>
      </c>
      <c r="C102">
        <v>1201</v>
      </c>
      <c r="D102">
        <v>13</v>
      </c>
      <c r="E102" t="s">
        <v>5</v>
      </c>
      <c r="F102" t="s">
        <v>49</v>
      </c>
      <c r="G102" t="s">
        <v>171</v>
      </c>
      <c r="H102">
        <v>1</v>
      </c>
    </row>
    <row r="103" spans="1:8" x14ac:dyDescent="0.45">
      <c r="A103">
        <v>1.6</v>
      </c>
      <c r="B103" t="s">
        <v>658</v>
      </c>
      <c r="C103">
        <v>1201</v>
      </c>
      <c r="D103">
        <v>14</v>
      </c>
      <c r="E103" t="s">
        <v>5</v>
      </c>
      <c r="F103" t="s">
        <v>624</v>
      </c>
      <c r="H103">
        <v>1</v>
      </c>
    </row>
    <row r="104" spans="1:8" x14ac:dyDescent="0.45">
      <c r="A104">
        <v>1.6</v>
      </c>
      <c r="B104" t="s">
        <v>658</v>
      </c>
      <c r="C104">
        <v>1201</v>
      </c>
      <c r="D104">
        <v>15</v>
      </c>
      <c r="E104" t="s">
        <v>5</v>
      </c>
      <c r="F104" t="s">
        <v>666</v>
      </c>
      <c r="G104" t="s">
        <v>171</v>
      </c>
      <c r="H104">
        <v>1</v>
      </c>
    </row>
    <row r="105" spans="1:8" x14ac:dyDescent="0.45">
      <c r="A105">
        <v>1.6</v>
      </c>
      <c r="B105" t="s">
        <v>658</v>
      </c>
      <c r="C105">
        <v>1201</v>
      </c>
      <c r="D105">
        <v>16</v>
      </c>
      <c r="E105" t="s">
        <v>7</v>
      </c>
      <c r="F105" t="s">
        <v>9</v>
      </c>
      <c r="H105">
        <v>1</v>
      </c>
    </row>
    <row r="106" spans="1:8" x14ac:dyDescent="0.45">
      <c r="A106">
        <v>1.6</v>
      </c>
      <c r="B106" t="s">
        <v>658</v>
      </c>
      <c r="C106">
        <v>801</v>
      </c>
      <c r="D106">
        <v>1</v>
      </c>
      <c r="E106" t="s">
        <v>18</v>
      </c>
      <c r="F106" t="s">
        <v>219</v>
      </c>
      <c r="G106" t="s">
        <v>171</v>
      </c>
      <c r="H106">
        <v>1</v>
      </c>
    </row>
    <row r="107" spans="1:8" x14ac:dyDescent="0.45">
      <c r="A107">
        <v>1.6</v>
      </c>
      <c r="B107" t="s">
        <v>658</v>
      </c>
      <c r="C107">
        <v>801</v>
      </c>
      <c r="D107">
        <v>2</v>
      </c>
      <c r="E107" t="s">
        <v>5</v>
      </c>
      <c r="F107" t="s">
        <v>360</v>
      </c>
      <c r="G107" t="s">
        <v>171</v>
      </c>
      <c r="H107">
        <v>1</v>
      </c>
    </row>
    <row r="108" spans="1:8" x14ac:dyDescent="0.45">
      <c r="A108">
        <v>1.6</v>
      </c>
      <c r="B108" t="s">
        <v>658</v>
      </c>
      <c r="C108">
        <v>801</v>
      </c>
      <c r="D108">
        <v>3</v>
      </c>
      <c r="E108" t="s">
        <v>5</v>
      </c>
      <c r="F108" t="s">
        <v>557</v>
      </c>
      <c r="H108">
        <v>1</v>
      </c>
    </row>
    <row r="109" spans="1:8" x14ac:dyDescent="0.45">
      <c r="A109">
        <v>1.6</v>
      </c>
      <c r="B109" t="s">
        <v>658</v>
      </c>
      <c r="C109">
        <v>801</v>
      </c>
      <c r="D109">
        <v>4</v>
      </c>
      <c r="E109" t="s">
        <v>5</v>
      </c>
      <c r="F109" t="s">
        <v>667</v>
      </c>
      <c r="H109">
        <v>1</v>
      </c>
    </row>
    <row r="110" spans="1:8" x14ac:dyDescent="0.45">
      <c r="A110">
        <v>1.6</v>
      </c>
      <c r="B110" t="s">
        <v>658</v>
      </c>
      <c r="C110">
        <v>801</v>
      </c>
      <c r="D110">
        <v>5</v>
      </c>
      <c r="E110" t="s">
        <v>5</v>
      </c>
      <c r="F110" t="s">
        <v>324</v>
      </c>
      <c r="H110">
        <v>1</v>
      </c>
    </row>
    <row r="111" spans="1:8" x14ac:dyDescent="0.45">
      <c r="A111">
        <v>1.6</v>
      </c>
      <c r="B111" t="s">
        <v>658</v>
      </c>
      <c r="C111">
        <v>801</v>
      </c>
      <c r="D111">
        <v>6</v>
      </c>
      <c r="E111" t="s">
        <v>5</v>
      </c>
      <c r="F111" t="s">
        <v>251</v>
      </c>
      <c r="H111">
        <v>1</v>
      </c>
    </row>
    <row r="112" spans="1:8" x14ac:dyDescent="0.45">
      <c r="A112">
        <v>1.6</v>
      </c>
      <c r="B112" t="s">
        <v>658</v>
      </c>
      <c r="C112">
        <v>801</v>
      </c>
      <c r="D112">
        <v>7</v>
      </c>
      <c r="E112" t="s">
        <v>5</v>
      </c>
      <c r="F112" t="s">
        <v>251</v>
      </c>
      <c r="H112">
        <v>1</v>
      </c>
    </row>
    <row r="113" spans="1:8" x14ac:dyDescent="0.45">
      <c r="A113">
        <v>1.6</v>
      </c>
      <c r="B113" t="s">
        <v>658</v>
      </c>
      <c r="C113">
        <v>801</v>
      </c>
      <c r="D113">
        <v>8</v>
      </c>
      <c r="E113" t="s">
        <v>5</v>
      </c>
      <c r="F113" t="s">
        <v>88</v>
      </c>
      <c r="H113">
        <v>1</v>
      </c>
    </row>
    <row r="114" spans="1:8" x14ac:dyDescent="0.45">
      <c r="A114">
        <v>1.6</v>
      </c>
      <c r="B114" t="s">
        <v>658</v>
      </c>
      <c r="C114">
        <v>801</v>
      </c>
      <c r="D114">
        <v>9</v>
      </c>
      <c r="E114" t="s">
        <v>7</v>
      </c>
      <c r="F114" t="s">
        <v>381</v>
      </c>
      <c r="H114">
        <v>1</v>
      </c>
    </row>
    <row r="115" spans="1:8" x14ac:dyDescent="0.45">
      <c r="A115">
        <v>1.6</v>
      </c>
      <c r="B115" t="s">
        <v>658</v>
      </c>
      <c r="C115">
        <v>801</v>
      </c>
      <c r="D115">
        <v>10</v>
      </c>
      <c r="E115" t="s">
        <v>5</v>
      </c>
      <c r="F115" t="s">
        <v>669</v>
      </c>
      <c r="H115">
        <v>1</v>
      </c>
    </row>
    <row r="116" spans="1:8" x14ac:dyDescent="0.45">
      <c r="A116">
        <v>1.6</v>
      </c>
      <c r="B116" t="s">
        <v>658</v>
      </c>
      <c r="C116">
        <v>801</v>
      </c>
      <c r="D116">
        <v>11</v>
      </c>
      <c r="E116" t="s">
        <v>5</v>
      </c>
      <c r="F116" t="s">
        <v>668</v>
      </c>
      <c r="H116">
        <v>1</v>
      </c>
    </row>
    <row r="117" spans="1:8" x14ac:dyDescent="0.45">
      <c r="A117">
        <v>1.6</v>
      </c>
      <c r="B117" t="s">
        <v>658</v>
      </c>
      <c r="C117">
        <v>801</v>
      </c>
      <c r="D117">
        <v>12</v>
      </c>
      <c r="E117" t="s">
        <v>18</v>
      </c>
      <c r="F117" t="s">
        <v>253</v>
      </c>
      <c r="H117">
        <v>1</v>
      </c>
    </row>
    <row r="118" spans="1:8" x14ac:dyDescent="0.45">
      <c r="A118">
        <v>1.6</v>
      </c>
      <c r="B118" t="s">
        <v>658</v>
      </c>
      <c r="C118">
        <v>801</v>
      </c>
      <c r="D118">
        <v>13</v>
      </c>
      <c r="E118" t="s">
        <v>7</v>
      </c>
      <c r="F118" t="s">
        <v>10</v>
      </c>
      <c r="H118">
        <v>1</v>
      </c>
    </row>
    <row r="119" spans="1:8" x14ac:dyDescent="0.45">
      <c r="A119">
        <v>1.6</v>
      </c>
      <c r="B119" t="s">
        <v>658</v>
      </c>
      <c r="C119">
        <v>801</v>
      </c>
      <c r="D119">
        <v>14</v>
      </c>
      <c r="E119" t="s">
        <v>7</v>
      </c>
      <c r="F119" t="s">
        <v>10</v>
      </c>
      <c r="H119">
        <v>1</v>
      </c>
    </row>
    <row r="120" spans="1:8" x14ac:dyDescent="0.45">
      <c r="A120">
        <v>1.6</v>
      </c>
      <c r="B120" t="s">
        <v>658</v>
      </c>
      <c r="C120">
        <v>801</v>
      </c>
      <c r="D120">
        <v>15</v>
      </c>
      <c r="E120" t="s">
        <v>18</v>
      </c>
      <c r="F120" t="s">
        <v>218</v>
      </c>
      <c r="H120">
        <v>1</v>
      </c>
    </row>
    <row r="121" spans="1:8" x14ac:dyDescent="0.45">
      <c r="A121">
        <v>1.6</v>
      </c>
      <c r="B121" t="s">
        <v>658</v>
      </c>
      <c r="C121">
        <v>801</v>
      </c>
      <c r="D121">
        <v>16</v>
      </c>
      <c r="E121" t="s">
        <v>18</v>
      </c>
      <c r="F121" t="s">
        <v>166</v>
      </c>
      <c r="H121">
        <v>1</v>
      </c>
    </row>
    <row r="122" spans="1:8" x14ac:dyDescent="0.45">
      <c r="A122">
        <v>1.6</v>
      </c>
      <c r="B122" t="s">
        <v>658</v>
      </c>
      <c r="C122">
        <v>801</v>
      </c>
      <c r="D122">
        <v>17</v>
      </c>
      <c r="E122" t="s">
        <v>7</v>
      </c>
      <c r="F122" t="s">
        <v>9</v>
      </c>
      <c r="H122">
        <v>1</v>
      </c>
    </row>
    <row r="123" spans="1:8" x14ac:dyDescent="0.45">
      <c r="A123">
        <v>1.6</v>
      </c>
      <c r="B123" t="s">
        <v>658</v>
      </c>
      <c r="C123">
        <v>801</v>
      </c>
      <c r="D123">
        <v>18</v>
      </c>
      <c r="E123" t="s">
        <v>7</v>
      </c>
      <c r="F123" t="s">
        <v>9</v>
      </c>
      <c r="H123">
        <v>1</v>
      </c>
    </row>
    <row r="124" spans="1:8" x14ac:dyDescent="0.45">
      <c r="A124">
        <v>1.6</v>
      </c>
      <c r="B124" t="s">
        <v>658</v>
      </c>
      <c r="C124">
        <v>801</v>
      </c>
      <c r="D124">
        <v>19</v>
      </c>
      <c r="E124" t="s">
        <v>5</v>
      </c>
      <c r="F124" t="s">
        <v>670</v>
      </c>
      <c r="H124">
        <v>1</v>
      </c>
    </row>
    <row r="125" spans="1:8" x14ac:dyDescent="0.45">
      <c r="A125">
        <v>1.6</v>
      </c>
      <c r="B125" t="s">
        <v>658</v>
      </c>
      <c r="C125">
        <v>401</v>
      </c>
      <c r="D125">
        <v>1</v>
      </c>
      <c r="E125" t="s">
        <v>5</v>
      </c>
      <c r="F125" t="s">
        <v>672</v>
      </c>
      <c r="H125">
        <v>1</v>
      </c>
    </row>
    <row r="126" spans="1:8" x14ac:dyDescent="0.45">
      <c r="A126">
        <v>1.6</v>
      </c>
      <c r="B126" t="s">
        <v>658</v>
      </c>
      <c r="C126">
        <v>401</v>
      </c>
      <c r="D126">
        <v>2</v>
      </c>
      <c r="E126" t="s">
        <v>5</v>
      </c>
      <c r="F126" t="s">
        <v>671</v>
      </c>
      <c r="G126" t="s">
        <v>171</v>
      </c>
      <c r="H126">
        <v>1</v>
      </c>
    </row>
    <row r="127" spans="1:8" x14ac:dyDescent="0.45">
      <c r="A127">
        <v>1.6</v>
      </c>
      <c r="B127" t="s">
        <v>658</v>
      </c>
      <c r="C127">
        <v>401</v>
      </c>
      <c r="D127">
        <v>3</v>
      </c>
      <c r="E127" t="s">
        <v>5</v>
      </c>
      <c r="F127" t="s">
        <v>671</v>
      </c>
      <c r="H127">
        <v>1</v>
      </c>
    </row>
    <row r="128" spans="1:8" x14ac:dyDescent="0.45">
      <c r="A128">
        <v>1.6</v>
      </c>
      <c r="B128" t="s">
        <v>658</v>
      </c>
      <c r="C128">
        <v>401</v>
      </c>
      <c r="D128">
        <v>4</v>
      </c>
      <c r="E128" t="s">
        <v>5</v>
      </c>
      <c r="F128" t="s">
        <v>119</v>
      </c>
      <c r="H128">
        <v>1</v>
      </c>
    </row>
    <row r="129" spans="1:8" x14ac:dyDescent="0.45">
      <c r="A129">
        <v>1.6</v>
      </c>
      <c r="B129" t="s">
        <v>658</v>
      </c>
      <c r="C129">
        <v>401</v>
      </c>
      <c r="D129">
        <v>5</v>
      </c>
      <c r="E129" t="s">
        <v>18</v>
      </c>
      <c r="F129" t="s">
        <v>673</v>
      </c>
      <c r="H129">
        <v>1</v>
      </c>
    </row>
    <row r="130" spans="1:8" x14ac:dyDescent="0.45">
      <c r="A130">
        <v>1.6</v>
      </c>
      <c r="B130" t="s">
        <v>658</v>
      </c>
      <c r="C130">
        <v>401</v>
      </c>
      <c r="D130">
        <v>6</v>
      </c>
      <c r="E130" t="s">
        <v>5</v>
      </c>
      <c r="F130" t="s">
        <v>160</v>
      </c>
      <c r="H130">
        <v>1</v>
      </c>
    </row>
    <row r="131" spans="1:8" x14ac:dyDescent="0.45">
      <c r="A131">
        <v>1.6</v>
      </c>
      <c r="B131" t="s">
        <v>658</v>
      </c>
      <c r="C131">
        <v>401</v>
      </c>
      <c r="D131">
        <v>7</v>
      </c>
      <c r="E131" t="s">
        <v>18</v>
      </c>
      <c r="F131" t="s">
        <v>674</v>
      </c>
      <c r="H131">
        <v>1</v>
      </c>
    </row>
    <row r="132" spans="1:8" x14ac:dyDescent="0.45">
      <c r="A132">
        <v>1.6</v>
      </c>
      <c r="B132" t="s">
        <v>658</v>
      </c>
      <c r="C132">
        <v>401</v>
      </c>
      <c r="D132">
        <v>8</v>
      </c>
      <c r="E132" t="s">
        <v>7</v>
      </c>
      <c r="F132" t="s">
        <v>10</v>
      </c>
      <c r="H132">
        <v>1</v>
      </c>
    </row>
    <row r="133" spans="1:8" x14ac:dyDescent="0.45">
      <c r="A133">
        <v>1.6</v>
      </c>
      <c r="B133" t="s">
        <v>658</v>
      </c>
      <c r="C133">
        <v>401</v>
      </c>
      <c r="D133">
        <v>9</v>
      </c>
      <c r="E133" t="s">
        <v>5</v>
      </c>
      <c r="F133" t="s">
        <v>675</v>
      </c>
      <c r="G133" t="s">
        <v>171</v>
      </c>
      <c r="H133">
        <v>1</v>
      </c>
    </row>
    <row r="134" spans="1:8" x14ac:dyDescent="0.45">
      <c r="A134">
        <v>1.6</v>
      </c>
      <c r="B134" t="s">
        <v>658</v>
      </c>
      <c r="C134">
        <v>401</v>
      </c>
      <c r="D134">
        <v>10</v>
      </c>
      <c r="E134" t="s">
        <v>7</v>
      </c>
      <c r="F134" t="s">
        <v>10</v>
      </c>
      <c r="H134">
        <v>1</v>
      </c>
    </row>
    <row r="135" spans="1:8" x14ac:dyDescent="0.45">
      <c r="A135">
        <v>1.6</v>
      </c>
      <c r="B135" t="s">
        <v>658</v>
      </c>
      <c r="C135">
        <v>401</v>
      </c>
      <c r="D135">
        <v>11</v>
      </c>
      <c r="E135" t="s">
        <v>18</v>
      </c>
      <c r="F135" t="s">
        <v>676</v>
      </c>
      <c r="H135">
        <v>1</v>
      </c>
    </row>
    <row r="136" spans="1:8" x14ac:dyDescent="0.45">
      <c r="A136">
        <v>1.6</v>
      </c>
      <c r="B136" t="s">
        <v>658</v>
      </c>
      <c r="C136">
        <v>401</v>
      </c>
      <c r="D136">
        <v>12</v>
      </c>
      <c r="E136" t="s">
        <v>18</v>
      </c>
      <c r="F136" t="s">
        <v>677</v>
      </c>
      <c r="H136">
        <v>1</v>
      </c>
    </row>
    <row r="137" spans="1:8" x14ac:dyDescent="0.45">
      <c r="A137">
        <v>1.6</v>
      </c>
      <c r="B137" t="s">
        <v>658</v>
      </c>
      <c r="C137">
        <v>401</v>
      </c>
      <c r="D137">
        <v>13</v>
      </c>
      <c r="E137" t="s">
        <v>5</v>
      </c>
      <c r="F137" t="s">
        <v>678</v>
      </c>
      <c r="H137">
        <v>1</v>
      </c>
    </row>
    <row r="138" spans="1:8" x14ac:dyDescent="0.45">
      <c r="A138">
        <v>1.6</v>
      </c>
      <c r="B138" t="s">
        <v>658</v>
      </c>
      <c r="C138">
        <v>401</v>
      </c>
      <c r="D138">
        <v>14</v>
      </c>
      <c r="E138" t="s">
        <v>5</v>
      </c>
      <c r="F138" t="s">
        <v>21</v>
      </c>
      <c r="H138">
        <v>1</v>
      </c>
    </row>
    <row r="139" spans="1:8" x14ac:dyDescent="0.45">
      <c r="A139">
        <v>1.6</v>
      </c>
      <c r="B139" t="s">
        <v>658</v>
      </c>
      <c r="C139">
        <v>401</v>
      </c>
      <c r="D139">
        <v>15</v>
      </c>
      <c r="E139" t="s">
        <v>7</v>
      </c>
      <c r="F139" t="s">
        <v>9</v>
      </c>
      <c r="H139">
        <v>1</v>
      </c>
    </row>
    <row r="140" spans="1:8" x14ac:dyDescent="0.45">
      <c r="A140">
        <v>1.6</v>
      </c>
      <c r="B140" t="s">
        <v>658</v>
      </c>
      <c r="C140">
        <v>401</v>
      </c>
      <c r="D140">
        <v>16</v>
      </c>
      <c r="E140" t="s">
        <v>18</v>
      </c>
      <c r="F140" t="s">
        <v>679</v>
      </c>
      <c r="H140">
        <v>1</v>
      </c>
    </row>
    <row r="141" spans="1:8" x14ac:dyDescent="0.45">
      <c r="A141">
        <v>1.6</v>
      </c>
      <c r="B141" t="s">
        <v>658</v>
      </c>
      <c r="C141">
        <v>401</v>
      </c>
      <c r="D141">
        <v>17</v>
      </c>
      <c r="E141" t="s">
        <v>18</v>
      </c>
      <c r="F141" t="s">
        <v>287</v>
      </c>
      <c r="H141">
        <v>1</v>
      </c>
    </row>
    <row r="142" spans="1:8" x14ac:dyDescent="0.45">
      <c r="A142">
        <v>1.6</v>
      </c>
      <c r="B142" t="s">
        <v>658</v>
      </c>
      <c r="C142">
        <v>401</v>
      </c>
      <c r="D142">
        <v>18</v>
      </c>
      <c r="E142" t="s">
        <v>7</v>
      </c>
      <c r="F142" t="s">
        <v>10</v>
      </c>
      <c r="H142">
        <v>1</v>
      </c>
    </row>
    <row r="143" spans="1:8" x14ac:dyDescent="0.45">
      <c r="A143">
        <v>1.6</v>
      </c>
      <c r="D143">
        <v>1</v>
      </c>
      <c r="H143">
        <v>1</v>
      </c>
    </row>
    <row r="144" spans="1:8" x14ac:dyDescent="0.45">
      <c r="A144">
        <v>1.6</v>
      </c>
      <c r="D144">
        <v>2</v>
      </c>
      <c r="H144">
        <v>1</v>
      </c>
    </row>
    <row r="145" spans="1:8" x14ac:dyDescent="0.45">
      <c r="A145">
        <v>1.6</v>
      </c>
      <c r="D145">
        <v>3</v>
      </c>
      <c r="H145">
        <v>1</v>
      </c>
    </row>
    <row r="146" spans="1:8" x14ac:dyDescent="0.45">
      <c r="A146">
        <v>1.6</v>
      </c>
      <c r="D146">
        <v>4</v>
      </c>
      <c r="H146">
        <v>1</v>
      </c>
    </row>
    <row r="147" spans="1:8" x14ac:dyDescent="0.45">
      <c r="A147">
        <v>1.6</v>
      </c>
      <c r="D147">
        <v>5</v>
      </c>
      <c r="H147">
        <v>1</v>
      </c>
    </row>
    <row r="148" spans="1:8" x14ac:dyDescent="0.45">
      <c r="A148">
        <v>1.6</v>
      </c>
      <c r="D148">
        <v>6</v>
      </c>
      <c r="H148">
        <v>1</v>
      </c>
    </row>
    <row r="149" spans="1:8" x14ac:dyDescent="0.45">
      <c r="A149">
        <v>1.6</v>
      </c>
      <c r="D149">
        <v>7</v>
      </c>
      <c r="H149">
        <v>1</v>
      </c>
    </row>
    <row r="150" spans="1:8" x14ac:dyDescent="0.45">
      <c r="A150">
        <v>1.6</v>
      </c>
      <c r="D150">
        <v>8</v>
      </c>
      <c r="H150">
        <v>1</v>
      </c>
    </row>
    <row r="151" spans="1:8" x14ac:dyDescent="0.45">
      <c r="A151">
        <v>1.6</v>
      </c>
      <c r="D151">
        <v>9</v>
      </c>
      <c r="H151">
        <v>1</v>
      </c>
    </row>
    <row r="152" spans="1:8" x14ac:dyDescent="0.45">
      <c r="A152">
        <v>1.6</v>
      </c>
      <c r="D152">
        <v>10</v>
      </c>
      <c r="H152">
        <v>1</v>
      </c>
    </row>
    <row r="153" spans="1:8" x14ac:dyDescent="0.45">
      <c r="A153">
        <v>1.6</v>
      </c>
      <c r="D153">
        <v>11</v>
      </c>
      <c r="H153">
        <v>1</v>
      </c>
    </row>
    <row r="154" spans="1:8" x14ac:dyDescent="0.45">
      <c r="A154">
        <v>1.6</v>
      </c>
      <c r="D154">
        <v>12</v>
      </c>
      <c r="H154">
        <v>1</v>
      </c>
    </row>
    <row r="155" spans="1:8" x14ac:dyDescent="0.45">
      <c r="A155">
        <v>1.6</v>
      </c>
      <c r="D155">
        <v>13</v>
      </c>
      <c r="H155">
        <v>1</v>
      </c>
    </row>
    <row r="156" spans="1:8" x14ac:dyDescent="0.45">
      <c r="A156">
        <v>1.6</v>
      </c>
      <c r="H156">
        <v>1</v>
      </c>
    </row>
    <row r="157" spans="1:8" x14ac:dyDescent="0.45">
      <c r="A157">
        <v>1.6</v>
      </c>
      <c r="H157">
        <v>1</v>
      </c>
    </row>
    <row r="158" spans="1:8" x14ac:dyDescent="0.45">
      <c r="A158">
        <v>1.6</v>
      </c>
      <c r="H158">
        <v>1</v>
      </c>
    </row>
    <row r="159" spans="1:8" x14ac:dyDescent="0.45">
      <c r="A159">
        <v>1.6</v>
      </c>
      <c r="H159">
        <v>1</v>
      </c>
    </row>
    <row r="160" spans="1:8" x14ac:dyDescent="0.45">
      <c r="A160">
        <v>1.6</v>
      </c>
      <c r="H160">
        <v>1</v>
      </c>
    </row>
    <row r="161" spans="1:8" x14ac:dyDescent="0.45">
      <c r="A161">
        <v>1.6</v>
      </c>
      <c r="H161">
        <v>1</v>
      </c>
    </row>
    <row r="162" spans="1:8" x14ac:dyDescent="0.45">
      <c r="A162">
        <v>1.6</v>
      </c>
      <c r="H162">
        <v>1</v>
      </c>
    </row>
    <row r="163" spans="1:8" x14ac:dyDescent="0.45">
      <c r="A163">
        <v>1.6</v>
      </c>
      <c r="H163">
        <v>1</v>
      </c>
    </row>
    <row r="164" spans="1:8" x14ac:dyDescent="0.45">
      <c r="A164">
        <v>1.6</v>
      </c>
      <c r="H164">
        <v>1</v>
      </c>
    </row>
    <row r="165" spans="1:8" x14ac:dyDescent="0.45">
      <c r="A165">
        <v>1.6</v>
      </c>
      <c r="H165">
        <v>1</v>
      </c>
    </row>
    <row r="166" spans="1:8" x14ac:dyDescent="0.45">
      <c r="A166">
        <v>1.6</v>
      </c>
      <c r="H166">
        <v>1</v>
      </c>
    </row>
    <row r="167" spans="1:8" x14ac:dyDescent="0.45">
      <c r="A167">
        <v>1.6</v>
      </c>
      <c r="H167">
        <v>1</v>
      </c>
    </row>
    <row r="168" spans="1:8" x14ac:dyDescent="0.45">
      <c r="A168">
        <v>1.6</v>
      </c>
      <c r="H168">
        <v>1</v>
      </c>
    </row>
    <row r="169" spans="1:8" x14ac:dyDescent="0.45">
      <c r="A169">
        <v>1.6</v>
      </c>
      <c r="H169">
        <v>1</v>
      </c>
    </row>
    <row r="170" spans="1:8" x14ac:dyDescent="0.45">
      <c r="A170">
        <v>1.6</v>
      </c>
      <c r="H170">
        <v>1</v>
      </c>
    </row>
    <row r="171" spans="1:8" x14ac:dyDescent="0.45">
      <c r="A171">
        <v>1.6</v>
      </c>
      <c r="H171">
        <v>1</v>
      </c>
    </row>
    <row r="172" spans="1:8" x14ac:dyDescent="0.45">
      <c r="A172">
        <v>1.6</v>
      </c>
      <c r="H172">
        <v>1</v>
      </c>
    </row>
    <row r="173" spans="1:8" x14ac:dyDescent="0.45">
      <c r="A173">
        <v>1.6</v>
      </c>
      <c r="H173">
        <v>1</v>
      </c>
    </row>
    <row r="174" spans="1:8" x14ac:dyDescent="0.45">
      <c r="A174">
        <v>1.6</v>
      </c>
      <c r="H174">
        <v>1</v>
      </c>
    </row>
    <row r="175" spans="1:8" x14ac:dyDescent="0.45">
      <c r="A175">
        <v>1.6</v>
      </c>
      <c r="H175">
        <v>1</v>
      </c>
    </row>
    <row r="176" spans="1:8" x14ac:dyDescent="0.45">
      <c r="A176">
        <v>1.6</v>
      </c>
      <c r="H176">
        <v>1</v>
      </c>
    </row>
    <row r="177" spans="1:8" x14ac:dyDescent="0.45">
      <c r="A177">
        <v>1.6</v>
      </c>
      <c r="H177">
        <v>1</v>
      </c>
    </row>
    <row r="178" spans="1:8" x14ac:dyDescent="0.45">
      <c r="A178">
        <v>1.6</v>
      </c>
      <c r="H178">
        <v>1</v>
      </c>
    </row>
    <row r="179" spans="1:8" x14ac:dyDescent="0.45">
      <c r="A179">
        <v>1.6</v>
      </c>
      <c r="H179">
        <v>1</v>
      </c>
    </row>
    <row r="180" spans="1:8" x14ac:dyDescent="0.45">
      <c r="A180">
        <v>1.6</v>
      </c>
      <c r="H180">
        <v>1</v>
      </c>
    </row>
    <row r="181" spans="1:8" x14ac:dyDescent="0.45">
      <c r="A181">
        <v>1.6</v>
      </c>
      <c r="H181">
        <v>1</v>
      </c>
    </row>
    <row r="182" spans="1:8" x14ac:dyDescent="0.45">
      <c r="A182">
        <v>1.6</v>
      </c>
      <c r="H182">
        <v>1</v>
      </c>
    </row>
    <row r="183" spans="1:8" x14ac:dyDescent="0.45">
      <c r="A183">
        <v>1.6</v>
      </c>
      <c r="H183">
        <v>1</v>
      </c>
    </row>
    <row r="184" spans="1:8" x14ac:dyDescent="0.45">
      <c r="A184">
        <v>1.6</v>
      </c>
      <c r="H184">
        <v>1</v>
      </c>
    </row>
    <row r="185" spans="1:8" x14ac:dyDescent="0.45">
      <c r="A185">
        <v>1.6</v>
      </c>
      <c r="H185">
        <v>1</v>
      </c>
    </row>
    <row r="186" spans="1:8" x14ac:dyDescent="0.45">
      <c r="A186">
        <v>1.6</v>
      </c>
      <c r="H186">
        <v>1</v>
      </c>
    </row>
    <row r="187" spans="1:8" x14ac:dyDescent="0.45">
      <c r="A187">
        <v>1.6</v>
      </c>
      <c r="H187">
        <v>1</v>
      </c>
    </row>
    <row r="188" spans="1:8" x14ac:dyDescent="0.45">
      <c r="A188">
        <v>1.6</v>
      </c>
      <c r="H188">
        <v>1</v>
      </c>
    </row>
    <row r="189" spans="1:8" x14ac:dyDescent="0.45">
      <c r="A189">
        <v>1.6</v>
      </c>
      <c r="H189">
        <v>1</v>
      </c>
    </row>
    <row r="190" spans="1:8" x14ac:dyDescent="0.45">
      <c r="A190">
        <v>1.6</v>
      </c>
      <c r="H190">
        <v>1</v>
      </c>
    </row>
    <row r="191" spans="1:8" x14ac:dyDescent="0.45">
      <c r="A191">
        <v>1.6</v>
      </c>
      <c r="H191">
        <v>1</v>
      </c>
    </row>
    <row r="192" spans="1:8" x14ac:dyDescent="0.45">
      <c r="A192">
        <v>1.6</v>
      </c>
      <c r="H192">
        <v>1</v>
      </c>
    </row>
    <row r="193" spans="1:8" x14ac:dyDescent="0.45">
      <c r="A193">
        <v>1.6</v>
      </c>
      <c r="H193">
        <v>1</v>
      </c>
    </row>
    <row r="194" spans="1:8" x14ac:dyDescent="0.45">
      <c r="A194">
        <v>1.6</v>
      </c>
      <c r="H194">
        <v>1</v>
      </c>
    </row>
    <row r="195" spans="1:8" x14ac:dyDescent="0.45">
      <c r="A195">
        <v>1.6</v>
      </c>
      <c r="H195">
        <v>1</v>
      </c>
    </row>
    <row r="196" spans="1:8" x14ac:dyDescent="0.45">
      <c r="A196">
        <v>1.6</v>
      </c>
      <c r="H196">
        <v>1</v>
      </c>
    </row>
    <row r="197" spans="1:8" x14ac:dyDescent="0.45">
      <c r="A197">
        <v>1.6</v>
      </c>
      <c r="H197">
        <v>1</v>
      </c>
    </row>
    <row r="198" spans="1:8" x14ac:dyDescent="0.45">
      <c r="A198">
        <v>1.6</v>
      </c>
      <c r="H198">
        <v>1</v>
      </c>
    </row>
    <row r="199" spans="1:8" x14ac:dyDescent="0.45">
      <c r="A199">
        <v>1.6</v>
      </c>
      <c r="H199">
        <v>1</v>
      </c>
    </row>
    <row r="200" spans="1:8" x14ac:dyDescent="0.45">
      <c r="A200">
        <v>1.6</v>
      </c>
      <c r="H200">
        <v>1</v>
      </c>
    </row>
    <row r="201" spans="1:8" x14ac:dyDescent="0.45">
      <c r="A201">
        <v>1.6</v>
      </c>
      <c r="H201">
        <v>1</v>
      </c>
    </row>
    <row r="202" spans="1:8" x14ac:dyDescent="0.45">
      <c r="A202">
        <v>1.6</v>
      </c>
      <c r="H202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8F69-F58D-48D1-864F-B80E8FE82C63}">
  <dimension ref="A1:M204"/>
  <sheetViews>
    <sheetView workbookViewId="0">
      <pane ySplit="3" topLeftCell="A106" activePane="bottomLeft" state="frozen"/>
      <selection pane="bottomLeft" activeCell="F143" sqref="F143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1.5</v>
      </c>
      <c r="B2" t="s">
        <v>270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77</v>
      </c>
      <c r="K2">
        <f>J2+J3</f>
        <v>101</v>
      </c>
      <c r="L2">
        <f>J2/K2</f>
        <v>0.76237623762376239</v>
      </c>
      <c r="M2">
        <f>SQRT(L2*L3/K2)</f>
        <v>4.2351512291419854E-2</v>
      </c>
    </row>
    <row r="3" spans="1:13" x14ac:dyDescent="0.45">
      <c r="A3">
        <v>1.5</v>
      </c>
      <c r="B3" t="s">
        <v>270</v>
      </c>
      <c r="C3">
        <v>1</v>
      </c>
      <c r="D3">
        <v>2</v>
      </c>
      <c r="E3" t="s">
        <v>7</v>
      </c>
      <c r="F3" t="s">
        <v>9</v>
      </c>
      <c r="H3">
        <v>1</v>
      </c>
      <c r="I3" t="s">
        <v>18</v>
      </c>
      <c r="J3">
        <f>COUNTIFS(E:E,"*B*",H:H,1)</f>
        <v>24</v>
      </c>
      <c r="L3">
        <f>J3/K2</f>
        <v>0.23762376237623761</v>
      </c>
    </row>
    <row r="4" spans="1:13" x14ac:dyDescent="0.45">
      <c r="A4">
        <v>1.5</v>
      </c>
      <c r="B4" t="s">
        <v>270</v>
      </c>
      <c r="C4">
        <v>1</v>
      </c>
      <c r="D4">
        <v>3</v>
      </c>
      <c r="E4" t="s">
        <v>18</v>
      </c>
      <c r="F4" t="s">
        <v>271</v>
      </c>
      <c r="H4">
        <v>1</v>
      </c>
      <c r="I4" t="s">
        <v>7</v>
      </c>
      <c r="J4">
        <f>COUNTIFS(E:E,"*U*",H:H,1)</f>
        <v>30</v>
      </c>
    </row>
    <row r="5" spans="1:13" x14ac:dyDescent="0.45">
      <c r="A5">
        <v>1.5</v>
      </c>
      <c r="B5" t="s">
        <v>270</v>
      </c>
      <c r="C5">
        <v>1</v>
      </c>
      <c r="D5">
        <v>4</v>
      </c>
      <c r="E5" t="s">
        <v>5</v>
      </c>
      <c r="F5" t="s">
        <v>272</v>
      </c>
      <c r="G5" t="s">
        <v>171</v>
      </c>
      <c r="H5">
        <v>1</v>
      </c>
    </row>
    <row r="6" spans="1:13" x14ac:dyDescent="0.45">
      <c r="A6">
        <v>1.5</v>
      </c>
      <c r="B6" t="s">
        <v>270</v>
      </c>
      <c r="C6">
        <v>1</v>
      </c>
      <c r="D6">
        <v>5</v>
      </c>
      <c r="E6" t="s">
        <v>5</v>
      </c>
      <c r="F6" t="s">
        <v>275</v>
      </c>
      <c r="H6">
        <v>1</v>
      </c>
    </row>
    <row r="7" spans="1:13" x14ac:dyDescent="0.45">
      <c r="A7">
        <v>1.5</v>
      </c>
      <c r="B7" t="s">
        <v>270</v>
      </c>
      <c r="C7">
        <v>1</v>
      </c>
      <c r="D7">
        <v>6</v>
      </c>
      <c r="E7" t="s">
        <v>7</v>
      </c>
      <c r="F7" t="s">
        <v>9</v>
      </c>
      <c r="H7">
        <v>1</v>
      </c>
    </row>
    <row r="8" spans="1:13" x14ac:dyDescent="0.45">
      <c r="A8">
        <v>1.5</v>
      </c>
      <c r="B8" t="s">
        <v>270</v>
      </c>
      <c r="C8">
        <v>1</v>
      </c>
      <c r="D8">
        <v>7</v>
      </c>
      <c r="E8" t="s">
        <v>5</v>
      </c>
      <c r="F8" t="s">
        <v>210</v>
      </c>
      <c r="G8" t="s">
        <v>171</v>
      </c>
      <c r="H8">
        <v>1</v>
      </c>
    </row>
    <row r="9" spans="1:13" x14ac:dyDescent="0.45">
      <c r="A9">
        <v>1.5</v>
      </c>
      <c r="B9" t="s">
        <v>270</v>
      </c>
      <c r="C9">
        <v>1</v>
      </c>
      <c r="D9">
        <v>8</v>
      </c>
      <c r="E9" t="s">
        <v>5</v>
      </c>
      <c r="F9" t="s">
        <v>273</v>
      </c>
      <c r="H9">
        <v>1</v>
      </c>
    </row>
    <row r="10" spans="1:13" x14ac:dyDescent="0.45">
      <c r="A10">
        <v>1.5</v>
      </c>
      <c r="B10" t="s">
        <v>270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1.5</v>
      </c>
      <c r="B11" t="s">
        <v>270</v>
      </c>
      <c r="C11">
        <v>401</v>
      </c>
      <c r="D11">
        <v>1</v>
      </c>
      <c r="E11" t="s">
        <v>5</v>
      </c>
      <c r="F11" t="s">
        <v>276</v>
      </c>
      <c r="G11" t="s">
        <v>171</v>
      </c>
      <c r="H11">
        <v>1</v>
      </c>
    </row>
    <row r="12" spans="1:13" x14ac:dyDescent="0.45">
      <c r="A12">
        <v>1.5</v>
      </c>
      <c r="B12" t="s">
        <v>270</v>
      </c>
      <c r="C12">
        <v>401</v>
      </c>
      <c r="D12">
        <v>2</v>
      </c>
      <c r="E12" t="s">
        <v>5</v>
      </c>
      <c r="F12" t="s">
        <v>277</v>
      </c>
      <c r="H12">
        <v>1</v>
      </c>
    </row>
    <row r="13" spans="1:13" x14ac:dyDescent="0.45">
      <c r="A13">
        <v>1.5</v>
      </c>
      <c r="B13" t="s">
        <v>270</v>
      </c>
      <c r="C13">
        <v>401</v>
      </c>
      <c r="D13">
        <v>3</v>
      </c>
      <c r="E13" t="s">
        <v>18</v>
      </c>
      <c r="F13" t="s">
        <v>277</v>
      </c>
      <c r="G13" t="s">
        <v>171</v>
      </c>
      <c r="H13">
        <v>1</v>
      </c>
    </row>
    <row r="14" spans="1:13" x14ac:dyDescent="0.45">
      <c r="A14">
        <v>1.5</v>
      </c>
      <c r="B14" t="s">
        <v>270</v>
      </c>
      <c r="C14">
        <v>401</v>
      </c>
      <c r="D14">
        <v>4</v>
      </c>
      <c r="E14" t="s">
        <v>5</v>
      </c>
      <c r="F14" t="s">
        <v>278</v>
      </c>
      <c r="H14">
        <v>1</v>
      </c>
    </row>
    <row r="15" spans="1:13" x14ac:dyDescent="0.45">
      <c r="A15">
        <v>1.5</v>
      </c>
      <c r="B15" t="s">
        <v>270</v>
      </c>
      <c r="C15">
        <v>401</v>
      </c>
      <c r="D15">
        <v>5</v>
      </c>
      <c r="E15" t="s">
        <v>5</v>
      </c>
      <c r="F15" t="s">
        <v>21</v>
      </c>
      <c r="H15">
        <v>1</v>
      </c>
    </row>
    <row r="16" spans="1:13" x14ac:dyDescent="0.45">
      <c r="A16">
        <v>1.5</v>
      </c>
      <c r="B16" t="s">
        <v>270</v>
      </c>
      <c r="C16">
        <v>401</v>
      </c>
      <c r="D16">
        <v>6</v>
      </c>
      <c r="E16" t="s">
        <v>18</v>
      </c>
      <c r="F16" t="s">
        <v>119</v>
      </c>
      <c r="H16">
        <v>1</v>
      </c>
    </row>
    <row r="17" spans="1:8" x14ac:dyDescent="0.45">
      <c r="A17">
        <v>1.5</v>
      </c>
      <c r="B17" t="s">
        <v>270</v>
      </c>
      <c r="C17">
        <v>401</v>
      </c>
      <c r="D17">
        <v>7</v>
      </c>
      <c r="E17" t="s">
        <v>7</v>
      </c>
      <c r="F17" t="s">
        <v>9</v>
      </c>
      <c r="H17">
        <v>1</v>
      </c>
    </row>
    <row r="18" spans="1:8" x14ac:dyDescent="0.45">
      <c r="A18">
        <v>1.5</v>
      </c>
      <c r="B18" t="s">
        <v>270</v>
      </c>
      <c r="C18">
        <v>801</v>
      </c>
      <c r="D18">
        <v>1</v>
      </c>
      <c r="E18" t="s">
        <v>18</v>
      </c>
      <c r="F18" t="s">
        <v>88</v>
      </c>
      <c r="H18">
        <v>1</v>
      </c>
    </row>
    <row r="19" spans="1:8" x14ac:dyDescent="0.45">
      <c r="A19">
        <v>1.5</v>
      </c>
      <c r="B19" t="s">
        <v>270</v>
      </c>
      <c r="C19">
        <v>801</v>
      </c>
      <c r="D19">
        <v>2</v>
      </c>
      <c r="E19" t="s">
        <v>5</v>
      </c>
      <c r="F19" t="s">
        <v>279</v>
      </c>
      <c r="H19">
        <v>1</v>
      </c>
    </row>
    <row r="20" spans="1:8" x14ac:dyDescent="0.45">
      <c r="A20">
        <v>1.5</v>
      </c>
      <c r="B20" t="s">
        <v>270</v>
      </c>
      <c r="C20">
        <v>801</v>
      </c>
      <c r="D20">
        <v>3</v>
      </c>
      <c r="E20" t="s">
        <v>18</v>
      </c>
      <c r="F20" t="s">
        <v>165</v>
      </c>
      <c r="H20">
        <v>1</v>
      </c>
    </row>
    <row r="21" spans="1:8" x14ac:dyDescent="0.45">
      <c r="A21">
        <v>1.5</v>
      </c>
      <c r="B21" t="s">
        <v>270</v>
      </c>
      <c r="C21">
        <v>1201</v>
      </c>
      <c r="D21">
        <v>1</v>
      </c>
      <c r="E21" t="s">
        <v>7</v>
      </c>
      <c r="F21" t="s">
        <v>9</v>
      </c>
      <c r="H21">
        <v>1</v>
      </c>
    </row>
    <row r="22" spans="1:8" x14ac:dyDescent="0.45">
      <c r="A22">
        <v>1.5</v>
      </c>
      <c r="B22" t="s">
        <v>270</v>
      </c>
      <c r="C22">
        <v>1201</v>
      </c>
      <c r="D22">
        <v>2</v>
      </c>
      <c r="E22" t="s">
        <v>5</v>
      </c>
      <c r="F22" t="s">
        <v>280</v>
      </c>
      <c r="H22">
        <v>1</v>
      </c>
    </row>
    <row r="23" spans="1:8" x14ac:dyDescent="0.45">
      <c r="A23">
        <v>1.5</v>
      </c>
      <c r="B23" t="s">
        <v>270</v>
      </c>
      <c r="C23">
        <v>1201</v>
      </c>
      <c r="D23">
        <v>3</v>
      </c>
      <c r="E23" t="s">
        <v>5</v>
      </c>
      <c r="F23" t="s">
        <v>281</v>
      </c>
      <c r="G23" t="s">
        <v>171</v>
      </c>
      <c r="H23">
        <v>1</v>
      </c>
    </row>
    <row r="24" spans="1:8" x14ac:dyDescent="0.45">
      <c r="A24">
        <v>1.5</v>
      </c>
      <c r="B24" t="s">
        <v>270</v>
      </c>
      <c r="C24">
        <v>1201</v>
      </c>
      <c r="D24">
        <v>4</v>
      </c>
      <c r="E24" t="s">
        <v>5</v>
      </c>
      <c r="F24" t="s">
        <v>282</v>
      </c>
      <c r="H24">
        <v>1</v>
      </c>
    </row>
    <row r="25" spans="1:8" x14ac:dyDescent="0.45">
      <c r="A25">
        <v>1.5</v>
      </c>
      <c r="B25" t="s">
        <v>270</v>
      </c>
      <c r="C25">
        <v>1201</v>
      </c>
      <c r="D25">
        <v>5</v>
      </c>
      <c r="E25" t="s">
        <v>5</v>
      </c>
      <c r="F25" t="s">
        <v>283</v>
      </c>
      <c r="H25">
        <v>1</v>
      </c>
    </row>
    <row r="26" spans="1:8" x14ac:dyDescent="0.45">
      <c r="A26">
        <v>1.5</v>
      </c>
      <c r="B26" t="s">
        <v>270</v>
      </c>
      <c r="C26">
        <v>1201</v>
      </c>
      <c r="D26">
        <v>6</v>
      </c>
      <c r="E26" t="s">
        <v>7</v>
      </c>
      <c r="F26" t="s">
        <v>10</v>
      </c>
      <c r="H26">
        <v>1</v>
      </c>
    </row>
    <row r="27" spans="1:8" x14ac:dyDescent="0.45">
      <c r="A27">
        <v>1.5</v>
      </c>
      <c r="B27" t="s">
        <v>270</v>
      </c>
      <c r="C27">
        <v>1201</v>
      </c>
      <c r="D27">
        <v>7</v>
      </c>
      <c r="E27" t="s">
        <v>5</v>
      </c>
      <c r="F27" t="s">
        <v>284</v>
      </c>
      <c r="H27">
        <v>1</v>
      </c>
    </row>
    <row r="28" spans="1:8" x14ac:dyDescent="0.45">
      <c r="A28">
        <v>1.5</v>
      </c>
      <c r="B28" t="s">
        <v>270</v>
      </c>
      <c r="C28">
        <v>1201</v>
      </c>
      <c r="D28">
        <v>8</v>
      </c>
      <c r="E28" t="s">
        <v>7</v>
      </c>
      <c r="F28" t="s">
        <v>9</v>
      </c>
      <c r="H28">
        <v>1</v>
      </c>
    </row>
    <row r="29" spans="1:8" x14ac:dyDescent="0.45">
      <c r="A29">
        <v>1.5</v>
      </c>
      <c r="B29" t="s">
        <v>270</v>
      </c>
      <c r="C29">
        <v>1601</v>
      </c>
      <c r="D29">
        <v>1</v>
      </c>
      <c r="E29" t="s">
        <v>7</v>
      </c>
      <c r="F29" t="s">
        <v>9</v>
      </c>
      <c r="H29">
        <v>1</v>
      </c>
    </row>
    <row r="30" spans="1:8" x14ac:dyDescent="0.45">
      <c r="A30">
        <v>1.5</v>
      </c>
      <c r="B30" t="s">
        <v>270</v>
      </c>
      <c r="C30">
        <v>1601</v>
      </c>
      <c r="D30">
        <v>2</v>
      </c>
      <c r="E30" t="s">
        <v>5</v>
      </c>
      <c r="F30" t="s">
        <v>194</v>
      </c>
      <c r="H30">
        <v>1</v>
      </c>
    </row>
    <row r="31" spans="1:8" x14ac:dyDescent="0.45">
      <c r="A31">
        <v>1.5</v>
      </c>
      <c r="B31" t="s">
        <v>270</v>
      </c>
      <c r="C31">
        <v>1601</v>
      </c>
      <c r="D31">
        <v>3</v>
      </c>
      <c r="E31" t="s">
        <v>7</v>
      </c>
      <c r="F31" t="s">
        <v>9</v>
      </c>
      <c r="H31">
        <v>1</v>
      </c>
    </row>
    <row r="32" spans="1:8" x14ac:dyDescent="0.45">
      <c r="A32">
        <v>1.5</v>
      </c>
      <c r="B32" t="s">
        <v>270</v>
      </c>
      <c r="C32">
        <v>1601</v>
      </c>
      <c r="D32">
        <v>4</v>
      </c>
      <c r="E32" t="s">
        <v>7</v>
      </c>
      <c r="F32" t="s">
        <v>9</v>
      </c>
      <c r="H32">
        <v>1</v>
      </c>
    </row>
    <row r="33" spans="1:8" x14ac:dyDescent="0.45">
      <c r="A33">
        <v>1.5</v>
      </c>
      <c r="B33" t="s">
        <v>603</v>
      </c>
      <c r="C33">
        <v>1601</v>
      </c>
      <c r="D33">
        <v>1</v>
      </c>
      <c r="E33" t="s">
        <v>5</v>
      </c>
      <c r="F33" t="s">
        <v>61</v>
      </c>
      <c r="H33">
        <v>1</v>
      </c>
    </row>
    <row r="34" spans="1:8" x14ac:dyDescent="0.45">
      <c r="A34">
        <v>1.5</v>
      </c>
      <c r="B34" t="s">
        <v>603</v>
      </c>
      <c r="C34">
        <v>1601</v>
      </c>
      <c r="D34">
        <v>2</v>
      </c>
      <c r="E34" t="s">
        <v>5</v>
      </c>
      <c r="F34" t="s">
        <v>424</v>
      </c>
      <c r="H34">
        <v>1</v>
      </c>
    </row>
    <row r="35" spans="1:8" x14ac:dyDescent="0.45">
      <c r="A35">
        <v>1.5</v>
      </c>
      <c r="B35" t="s">
        <v>603</v>
      </c>
      <c r="C35">
        <v>1601</v>
      </c>
      <c r="D35">
        <v>3</v>
      </c>
      <c r="E35" t="s">
        <v>5</v>
      </c>
      <c r="F35" t="s">
        <v>604</v>
      </c>
      <c r="H35">
        <v>1</v>
      </c>
    </row>
    <row r="36" spans="1:8" x14ac:dyDescent="0.45">
      <c r="A36">
        <v>1.5</v>
      </c>
      <c r="B36" t="s">
        <v>603</v>
      </c>
      <c r="C36">
        <v>1601</v>
      </c>
      <c r="D36">
        <v>4</v>
      </c>
      <c r="E36" t="s">
        <v>5</v>
      </c>
      <c r="F36" t="s">
        <v>193</v>
      </c>
      <c r="H36">
        <v>1</v>
      </c>
    </row>
    <row r="37" spans="1:8" x14ac:dyDescent="0.45">
      <c r="A37">
        <v>1.5</v>
      </c>
      <c r="B37" t="s">
        <v>603</v>
      </c>
      <c r="C37">
        <v>1601</v>
      </c>
      <c r="D37">
        <v>5</v>
      </c>
      <c r="E37" t="s">
        <v>7</v>
      </c>
      <c r="F37" t="s">
        <v>9</v>
      </c>
      <c r="H37">
        <v>1</v>
      </c>
    </row>
    <row r="38" spans="1:8" x14ac:dyDescent="0.45">
      <c r="A38">
        <v>1.5</v>
      </c>
      <c r="B38" t="s">
        <v>603</v>
      </c>
      <c r="C38">
        <v>1601</v>
      </c>
      <c r="D38">
        <v>6</v>
      </c>
      <c r="E38" t="s">
        <v>18</v>
      </c>
      <c r="F38" t="s">
        <v>103</v>
      </c>
      <c r="H38">
        <v>1</v>
      </c>
    </row>
    <row r="39" spans="1:8" x14ac:dyDescent="0.45">
      <c r="A39">
        <v>1.5</v>
      </c>
      <c r="B39" t="s">
        <v>603</v>
      </c>
      <c r="C39">
        <v>1601</v>
      </c>
      <c r="D39">
        <v>7</v>
      </c>
      <c r="E39" t="s">
        <v>5</v>
      </c>
      <c r="F39" t="s">
        <v>605</v>
      </c>
      <c r="H39">
        <v>1</v>
      </c>
    </row>
    <row r="40" spans="1:8" x14ac:dyDescent="0.45">
      <c r="A40">
        <v>1.5</v>
      </c>
      <c r="B40" t="s">
        <v>603</v>
      </c>
      <c r="C40">
        <v>1601</v>
      </c>
      <c r="D40">
        <v>8</v>
      </c>
      <c r="E40" t="s">
        <v>5</v>
      </c>
      <c r="F40" t="s">
        <v>606</v>
      </c>
      <c r="H40">
        <v>1</v>
      </c>
    </row>
    <row r="41" spans="1:8" x14ac:dyDescent="0.45">
      <c r="A41">
        <v>1.5</v>
      </c>
      <c r="B41" t="s">
        <v>603</v>
      </c>
      <c r="C41">
        <v>1201</v>
      </c>
      <c r="D41">
        <v>1</v>
      </c>
      <c r="E41" t="s">
        <v>5</v>
      </c>
      <c r="F41" t="s">
        <v>609</v>
      </c>
      <c r="H41">
        <v>1</v>
      </c>
    </row>
    <row r="42" spans="1:8" x14ac:dyDescent="0.45">
      <c r="A42">
        <v>1.5</v>
      </c>
      <c r="B42" t="s">
        <v>603</v>
      </c>
      <c r="C42">
        <v>1201</v>
      </c>
      <c r="D42">
        <v>2</v>
      </c>
      <c r="E42" t="s">
        <v>7</v>
      </c>
      <c r="F42" t="s">
        <v>9</v>
      </c>
      <c r="H42">
        <v>1</v>
      </c>
    </row>
    <row r="43" spans="1:8" x14ac:dyDescent="0.45">
      <c r="A43">
        <v>1.5</v>
      </c>
      <c r="B43" t="s">
        <v>603</v>
      </c>
      <c r="C43">
        <v>1201</v>
      </c>
      <c r="D43">
        <v>3</v>
      </c>
      <c r="E43" t="s">
        <v>5</v>
      </c>
      <c r="F43" t="s">
        <v>494</v>
      </c>
      <c r="H43">
        <v>1</v>
      </c>
    </row>
    <row r="44" spans="1:8" x14ac:dyDescent="0.45">
      <c r="A44">
        <v>1.5</v>
      </c>
      <c r="B44" t="s">
        <v>603</v>
      </c>
      <c r="C44">
        <v>1201</v>
      </c>
      <c r="D44">
        <v>4</v>
      </c>
      <c r="E44" t="s">
        <v>5</v>
      </c>
      <c r="F44" t="s">
        <v>610</v>
      </c>
      <c r="H44">
        <v>1</v>
      </c>
    </row>
    <row r="45" spans="1:8" x14ac:dyDescent="0.45">
      <c r="A45">
        <v>1.5</v>
      </c>
      <c r="B45" t="s">
        <v>603</v>
      </c>
      <c r="C45">
        <v>1201</v>
      </c>
      <c r="D45">
        <v>5</v>
      </c>
      <c r="E45" t="s">
        <v>18</v>
      </c>
      <c r="F45" t="s">
        <v>611</v>
      </c>
      <c r="H45">
        <v>1</v>
      </c>
    </row>
    <row r="46" spans="1:8" x14ac:dyDescent="0.45">
      <c r="A46">
        <v>1.5</v>
      </c>
      <c r="B46" t="s">
        <v>603</v>
      </c>
      <c r="C46">
        <v>1201</v>
      </c>
      <c r="D46">
        <v>6</v>
      </c>
      <c r="E46" t="s">
        <v>18</v>
      </c>
      <c r="F46" t="s">
        <v>608</v>
      </c>
      <c r="G46" t="s">
        <v>171</v>
      </c>
      <c r="H46">
        <v>1</v>
      </c>
    </row>
    <row r="47" spans="1:8" x14ac:dyDescent="0.45">
      <c r="A47">
        <v>1.5</v>
      </c>
      <c r="B47" t="s">
        <v>603</v>
      </c>
      <c r="C47">
        <v>1201</v>
      </c>
      <c r="D47">
        <v>7</v>
      </c>
      <c r="E47" t="s">
        <v>5</v>
      </c>
      <c r="F47" t="s">
        <v>607</v>
      </c>
      <c r="G47" t="s">
        <v>171</v>
      </c>
      <c r="H47">
        <v>1</v>
      </c>
    </row>
    <row r="48" spans="1:8" x14ac:dyDescent="0.45">
      <c r="A48">
        <v>1.5</v>
      </c>
      <c r="B48" t="s">
        <v>603</v>
      </c>
      <c r="C48">
        <v>1201</v>
      </c>
      <c r="D48">
        <v>8</v>
      </c>
      <c r="E48" t="s">
        <v>7</v>
      </c>
      <c r="F48" t="s">
        <v>9</v>
      </c>
      <c r="H48">
        <v>1</v>
      </c>
    </row>
    <row r="49" spans="1:8" x14ac:dyDescent="0.45">
      <c r="A49">
        <v>1.5</v>
      </c>
      <c r="B49" t="s">
        <v>603</v>
      </c>
      <c r="C49">
        <v>801</v>
      </c>
      <c r="D49">
        <v>1</v>
      </c>
      <c r="E49" t="s">
        <v>5</v>
      </c>
      <c r="F49" t="s">
        <v>163</v>
      </c>
      <c r="H49">
        <v>1</v>
      </c>
    </row>
    <row r="50" spans="1:8" x14ac:dyDescent="0.45">
      <c r="A50">
        <v>1.5</v>
      </c>
      <c r="B50" t="s">
        <v>603</v>
      </c>
      <c r="C50">
        <v>801</v>
      </c>
      <c r="D50">
        <v>2</v>
      </c>
      <c r="E50" t="s">
        <v>5</v>
      </c>
      <c r="F50" t="s">
        <v>217</v>
      </c>
      <c r="G50" t="s">
        <v>171</v>
      </c>
      <c r="H50">
        <v>1</v>
      </c>
    </row>
    <row r="51" spans="1:8" x14ac:dyDescent="0.45">
      <c r="A51">
        <v>1.5</v>
      </c>
      <c r="B51" t="s">
        <v>603</v>
      </c>
      <c r="C51">
        <v>801</v>
      </c>
      <c r="D51">
        <v>3</v>
      </c>
      <c r="E51" t="s">
        <v>5</v>
      </c>
      <c r="F51" t="s">
        <v>410</v>
      </c>
      <c r="H51">
        <v>1</v>
      </c>
    </row>
    <row r="52" spans="1:8" x14ac:dyDescent="0.45">
      <c r="A52">
        <v>1.5</v>
      </c>
      <c r="B52" t="s">
        <v>603</v>
      </c>
      <c r="C52">
        <v>801</v>
      </c>
      <c r="D52">
        <v>4</v>
      </c>
      <c r="E52" t="s">
        <v>7</v>
      </c>
      <c r="F52" t="s">
        <v>9</v>
      </c>
      <c r="H52">
        <v>1</v>
      </c>
    </row>
    <row r="53" spans="1:8" x14ac:dyDescent="0.45">
      <c r="A53">
        <v>1.5</v>
      </c>
      <c r="B53" t="s">
        <v>603</v>
      </c>
      <c r="C53">
        <v>801</v>
      </c>
      <c r="D53">
        <v>5</v>
      </c>
      <c r="E53" t="s">
        <v>7</v>
      </c>
      <c r="F53" t="s">
        <v>9</v>
      </c>
      <c r="H53">
        <v>1</v>
      </c>
    </row>
    <row r="54" spans="1:8" x14ac:dyDescent="0.45">
      <c r="A54">
        <v>1.5</v>
      </c>
      <c r="B54" t="s">
        <v>603</v>
      </c>
      <c r="C54">
        <v>801</v>
      </c>
      <c r="D54">
        <v>6</v>
      </c>
      <c r="E54" t="s">
        <v>5</v>
      </c>
      <c r="F54" t="s">
        <v>613</v>
      </c>
      <c r="H54">
        <v>1</v>
      </c>
    </row>
    <row r="55" spans="1:8" x14ac:dyDescent="0.45">
      <c r="A55">
        <v>1.5</v>
      </c>
      <c r="B55" t="s">
        <v>603</v>
      </c>
      <c r="C55">
        <v>801</v>
      </c>
      <c r="D55">
        <v>7</v>
      </c>
      <c r="E55" t="s">
        <v>5</v>
      </c>
      <c r="F55" t="s">
        <v>612</v>
      </c>
      <c r="H55">
        <v>1</v>
      </c>
    </row>
    <row r="56" spans="1:8" x14ac:dyDescent="0.45">
      <c r="A56">
        <v>1.5</v>
      </c>
      <c r="B56" t="s">
        <v>603</v>
      </c>
      <c r="C56">
        <v>801</v>
      </c>
      <c r="D56">
        <v>8</v>
      </c>
      <c r="E56" t="s">
        <v>5</v>
      </c>
      <c r="F56" t="s">
        <v>166</v>
      </c>
      <c r="H56">
        <v>1</v>
      </c>
    </row>
    <row r="57" spans="1:8" x14ac:dyDescent="0.45">
      <c r="A57">
        <v>1.5</v>
      </c>
      <c r="B57" t="s">
        <v>603</v>
      </c>
      <c r="C57">
        <v>401</v>
      </c>
      <c r="D57">
        <v>1</v>
      </c>
      <c r="E57" t="s">
        <v>7</v>
      </c>
      <c r="F57" t="s">
        <v>9</v>
      </c>
      <c r="H57">
        <v>1</v>
      </c>
    </row>
    <row r="58" spans="1:8" x14ac:dyDescent="0.45">
      <c r="A58">
        <v>1.5</v>
      </c>
      <c r="B58" t="s">
        <v>603</v>
      </c>
      <c r="C58">
        <v>401</v>
      </c>
      <c r="D58">
        <v>2</v>
      </c>
      <c r="E58" t="s">
        <v>5</v>
      </c>
      <c r="F58" t="s">
        <v>511</v>
      </c>
      <c r="G58" t="s">
        <v>171</v>
      </c>
      <c r="H58">
        <v>1</v>
      </c>
    </row>
    <row r="59" spans="1:8" x14ac:dyDescent="0.45">
      <c r="A59">
        <v>1.5</v>
      </c>
      <c r="B59" t="s">
        <v>603</v>
      </c>
      <c r="C59">
        <v>401</v>
      </c>
      <c r="D59">
        <v>3</v>
      </c>
      <c r="E59" t="s">
        <v>5</v>
      </c>
      <c r="F59" t="s">
        <v>29</v>
      </c>
      <c r="H59">
        <v>1</v>
      </c>
    </row>
    <row r="60" spans="1:8" x14ac:dyDescent="0.45">
      <c r="A60">
        <v>1.5</v>
      </c>
      <c r="B60" t="s">
        <v>603</v>
      </c>
      <c r="C60">
        <v>401</v>
      </c>
      <c r="D60">
        <v>4</v>
      </c>
      <c r="E60" t="s">
        <v>7</v>
      </c>
      <c r="F60" t="s">
        <v>9</v>
      </c>
      <c r="H60">
        <v>1</v>
      </c>
    </row>
    <row r="61" spans="1:8" x14ac:dyDescent="0.45">
      <c r="A61">
        <v>1.5</v>
      </c>
      <c r="B61" t="s">
        <v>603</v>
      </c>
      <c r="C61">
        <v>401</v>
      </c>
      <c r="D61">
        <v>5</v>
      </c>
      <c r="E61" t="s">
        <v>5</v>
      </c>
      <c r="F61" t="s">
        <v>614</v>
      </c>
      <c r="H61">
        <v>1</v>
      </c>
    </row>
    <row r="62" spans="1:8" x14ac:dyDescent="0.45">
      <c r="A62">
        <v>1.5</v>
      </c>
      <c r="B62" t="s">
        <v>603</v>
      </c>
      <c r="C62">
        <v>401</v>
      </c>
      <c r="D62">
        <v>6</v>
      </c>
      <c r="E62" t="s">
        <v>5</v>
      </c>
      <c r="F62" t="s">
        <v>615</v>
      </c>
      <c r="H62">
        <v>1</v>
      </c>
    </row>
    <row r="63" spans="1:8" x14ac:dyDescent="0.45">
      <c r="A63">
        <v>1.5</v>
      </c>
      <c r="B63" t="s">
        <v>603</v>
      </c>
      <c r="C63">
        <v>401</v>
      </c>
      <c r="D63">
        <v>7</v>
      </c>
      <c r="E63" t="s">
        <v>5</v>
      </c>
      <c r="F63" t="s">
        <v>617</v>
      </c>
      <c r="G63" t="s">
        <v>171</v>
      </c>
      <c r="H63">
        <v>1</v>
      </c>
    </row>
    <row r="64" spans="1:8" x14ac:dyDescent="0.45">
      <c r="A64">
        <v>1.5</v>
      </c>
      <c r="B64" t="s">
        <v>603</v>
      </c>
      <c r="C64">
        <v>1</v>
      </c>
      <c r="D64">
        <v>1</v>
      </c>
      <c r="E64" t="s">
        <v>18</v>
      </c>
      <c r="F64" t="s">
        <v>618</v>
      </c>
      <c r="G64" t="s">
        <v>171</v>
      </c>
      <c r="H64">
        <v>1</v>
      </c>
    </row>
    <row r="65" spans="1:8" x14ac:dyDescent="0.45">
      <c r="A65">
        <v>1.5</v>
      </c>
      <c r="B65" t="s">
        <v>603</v>
      </c>
      <c r="C65">
        <v>1</v>
      </c>
      <c r="D65">
        <v>2</v>
      </c>
      <c r="E65" t="s">
        <v>5</v>
      </c>
      <c r="F65" t="s">
        <v>105</v>
      </c>
      <c r="G65" t="s">
        <v>171</v>
      </c>
      <c r="H65">
        <v>1</v>
      </c>
    </row>
    <row r="66" spans="1:8" x14ac:dyDescent="0.45">
      <c r="A66">
        <v>1.5</v>
      </c>
      <c r="B66" t="s">
        <v>603</v>
      </c>
      <c r="C66">
        <v>1</v>
      </c>
      <c r="D66">
        <v>3</v>
      </c>
      <c r="E66" t="s">
        <v>5</v>
      </c>
      <c r="F66" t="s">
        <v>239</v>
      </c>
      <c r="H66">
        <v>1</v>
      </c>
    </row>
    <row r="67" spans="1:8" x14ac:dyDescent="0.45">
      <c r="A67">
        <v>1.5</v>
      </c>
      <c r="B67" t="s">
        <v>603</v>
      </c>
      <c r="C67">
        <v>1</v>
      </c>
      <c r="D67">
        <v>4</v>
      </c>
      <c r="E67" t="s">
        <v>18</v>
      </c>
      <c r="F67" t="s">
        <v>619</v>
      </c>
      <c r="H67">
        <v>1</v>
      </c>
    </row>
    <row r="68" spans="1:8" x14ac:dyDescent="0.45">
      <c r="A68">
        <v>1.5</v>
      </c>
      <c r="B68" t="s">
        <v>603</v>
      </c>
      <c r="C68">
        <v>1</v>
      </c>
      <c r="D68">
        <v>5</v>
      </c>
      <c r="E68" t="s">
        <v>5</v>
      </c>
      <c r="F68" t="s">
        <v>73</v>
      </c>
      <c r="H68">
        <v>1</v>
      </c>
    </row>
    <row r="69" spans="1:8" x14ac:dyDescent="0.45">
      <c r="A69">
        <v>1.5</v>
      </c>
      <c r="B69" t="s">
        <v>603</v>
      </c>
      <c r="C69">
        <v>1</v>
      </c>
      <c r="D69">
        <v>6</v>
      </c>
      <c r="E69" t="s">
        <v>5</v>
      </c>
      <c r="F69" t="s">
        <v>317</v>
      </c>
      <c r="G69" t="s">
        <v>171</v>
      </c>
      <c r="H69">
        <v>1</v>
      </c>
    </row>
    <row r="70" spans="1:8" x14ac:dyDescent="0.45">
      <c r="A70">
        <v>1.5</v>
      </c>
      <c r="B70" t="s">
        <v>603</v>
      </c>
      <c r="C70">
        <v>1</v>
      </c>
      <c r="D70">
        <v>7</v>
      </c>
      <c r="E70" t="s">
        <v>7</v>
      </c>
      <c r="F70" t="s">
        <v>9</v>
      </c>
      <c r="H70">
        <v>1</v>
      </c>
    </row>
    <row r="71" spans="1:8" x14ac:dyDescent="0.45">
      <c r="A71">
        <v>1.5</v>
      </c>
      <c r="B71" t="s">
        <v>603</v>
      </c>
      <c r="C71">
        <v>1</v>
      </c>
      <c r="D71">
        <v>8</v>
      </c>
      <c r="E71" t="s">
        <v>7</v>
      </c>
      <c r="F71" t="s">
        <v>9</v>
      </c>
      <c r="H71">
        <v>1</v>
      </c>
    </row>
    <row r="72" spans="1:8" x14ac:dyDescent="0.45">
      <c r="A72">
        <v>1.5</v>
      </c>
      <c r="B72" t="s">
        <v>620</v>
      </c>
      <c r="C72">
        <v>1601</v>
      </c>
      <c r="D72">
        <v>1</v>
      </c>
      <c r="E72" t="s">
        <v>7</v>
      </c>
      <c r="F72" t="s">
        <v>9</v>
      </c>
      <c r="H72">
        <v>1</v>
      </c>
    </row>
    <row r="73" spans="1:8" x14ac:dyDescent="0.45">
      <c r="A73">
        <v>1.5</v>
      </c>
      <c r="B73" t="s">
        <v>620</v>
      </c>
      <c r="C73">
        <v>1601</v>
      </c>
      <c r="D73">
        <v>2</v>
      </c>
      <c r="E73" t="s">
        <v>5</v>
      </c>
      <c r="F73" t="s">
        <v>621</v>
      </c>
      <c r="G73" t="s">
        <v>171</v>
      </c>
      <c r="H73">
        <v>1</v>
      </c>
    </row>
    <row r="74" spans="1:8" x14ac:dyDescent="0.45">
      <c r="A74">
        <v>1.5</v>
      </c>
      <c r="B74" t="s">
        <v>620</v>
      </c>
      <c r="C74">
        <v>1601</v>
      </c>
      <c r="D74">
        <v>3</v>
      </c>
      <c r="E74" t="s">
        <v>5</v>
      </c>
      <c r="F74" t="s">
        <v>622</v>
      </c>
      <c r="H74">
        <v>1</v>
      </c>
    </row>
    <row r="75" spans="1:8" x14ac:dyDescent="0.45">
      <c r="A75">
        <v>1.5</v>
      </c>
      <c r="B75" t="s">
        <v>620</v>
      </c>
      <c r="C75">
        <v>1601</v>
      </c>
      <c r="D75">
        <v>4</v>
      </c>
      <c r="E75" t="s">
        <v>7</v>
      </c>
      <c r="F75" t="s">
        <v>9</v>
      </c>
      <c r="H75">
        <v>1</v>
      </c>
    </row>
    <row r="76" spans="1:8" x14ac:dyDescent="0.45">
      <c r="A76">
        <v>1.5</v>
      </c>
      <c r="B76" t="s">
        <v>620</v>
      </c>
      <c r="C76">
        <v>1601</v>
      </c>
      <c r="D76">
        <v>5</v>
      </c>
      <c r="E76" t="s">
        <v>7</v>
      </c>
      <c r="F76" t="s">
        <v>9</v>
      </c>
      <c r="H76">
        <v>1</v>
      </c>
    </row>
    <row r="77" spans="1:8" x14ac:dyDescent="0.45">
      <c r="A77">
        <v>1.5</v>
      </c>
      <c r="B77" t="s">
        <v>620</v>
      </c>
      <c r="C77">
        <v>1201</v>
      </c>
      <c r="D77">
        <v>1</v>
      </c>
      <c r="E77" t="s">
        <v>7</v>
      </c>
      <c r="F77" t="s">
        <v>9</v>
      </c>
      <c r="H77">
        <v>1</v>
      </c>
    </row>
    <row r="78" spans="1:8" x14ac:dyDescent="0.45">
      <c r="A78">
        <v>1.5</v>
      </c>
      <c r="B78" t="s">
        <v>620</v>
      </c>
      <c r="C78">
        <v>1201</v>
      </c>
      <c r="D78">
        <v>2</v>
      </c>
      <c r="E78" t="s">
        <v>18</v>
      </c>
      <c r="F78" t="s">
        <v>623</v>
      </c>
      <c r="G78" t="s">
        <v>171</v>
      </c>
      <c r="H78">
        <v>1</v>
      </c>
    </row>
    <row r="79" spans="1:8" x14ac:dyDescent="0.45">
      <c r="A79">
        <v>1.5</v>
      </c>
      <c r="B79" t="s">
        <v>620</v>
      </c>
      <c r="C79">
        <v>1201</v>
      </c>
      <c r="D79">
        <v>3</v>
      </c>
      <c r="E79" t="s">
        <v>5</v>
      </c>
      <c r="F79" t="s">
        <v>627</v>
      </c>
      <c r="H79">
        <v>1</v>
      </c>
    </row>
    <row r="80" spans="1:8" x14ac:dyDescent="0.45">
      <c r="A80">
        <v>1.5</v>
      </c>
      <c r="B80" t="s">
        <v>620</v>
      </c>
      <c r="C80">
        <v>1201</v>
      </c>
      <c r="D80">
        <v>4</v>
      </c>
      <c r="E80" t="s">
        <v>5</v>
      </c>
      <c r="F80" t="s">
        <v>628</v>
      </c>
      <c r="H80">
        <v>1</v>
      </c>
    </row>
    <row r="81" spans="1:8" x14ac:dyDescent="0.45">
      <c r="A81">
        <v>1.5</v>
      </c>
      <c r="B81" t="s">
        <v>620</v>
      </c>
      <c r="C81">
        <v>1201</v>
      </c>
      <c r="D81">
        <v>5</v>
      </c>
      <c r="E81" t="s">
        <v>5</v>
      </c>
      <c r="F81" t="s">
        <v>624</v>
      </c>
      <c r="H81">
        <v>1</v>
      </c>
    </row>
    <row r="82" spans="1:8" x14ac:dyDescent="0.45">
      <c r="A82">
        <v>1.5</v>
      </c>
      <c r="B82" t="s">
        <v>620</v>
      </c>
      <c r="C82">
        <v>1201</v>
      </c>
      <c r="D82">
        <v>6</v>
      </c>
      <c r="E82" t="s">
        <v>5</v>
      </c>
      <c r="F82" t="s">
        <v>60</v>
      </c>
      <c r="H82">
        <v>1</v>
      </c>
    </row>
    <row r="83" spans="1:8" x14ac:dyDescent="0.45">
      <c r="A83">
        <v>1.5</v>
      </c>
      <c r="B83" t="s">
        <v>620</v>
      </c>
      <c r="C83">
        <v>1201</v>
      </c>
      <c r="D83">
        <v>7</v>
      </c>
      <c r="E83" t="s">
        <v>18</v>
      </c>
      <c r="F83" t="s">
        <v>625</v>
      </c>
      <c r="H83">
        <v>1</v>
      </c>
    </row>
    <row r="84" spans="1:8" x14ac:dyDescent="0.45">
      <c r="A84">
        <v>1.5</v>
      </c>
      <c r="B84" t="s">
        <v>620</v>
      </c>
      <c r="C84">
        <v>1201</v>
      </c>
      <c r="D84">
        <v>8</v>
      </c>
      <c r="E84" t="s">
        <v>5</v>
      </c>
      <c r="F84" t="s">
        <v>60</v>
      </c>
      <c r="H84">
        <v>1</v>
      </c>
    </row>
    <row r="85" spans="1:8" x14ac:dyDescent="0.45">
      <c r="A85">
        <v>1.5</v>
      </c>
      <c r="B85" t="s">
        <v>620</v>
      </c>
      <c r="C85">
        <v>1201</v>
      </c>
      <c r="D85">
        <v>9</v>
      </c>
      <c r="E85" t="s">
        <v>5</v>
      </c>
      <c r="F85" t="s">
        <v>626</v>
      </c>
      <c r="G85" t="s">
        <v>171</v>
      </c>
      <c r="H85">
        <v>1</v>
      </c>
    </row>
    <row r="86" spans="1:8" x14ac:dyDescent="0.45">
      <c r="A86">
        <v>1.5</v>
      </c>
      <c r="B86" t="s">
        <v>620</v>
      </c>
      <c r="C86">
        <v>801</v>
      </c>
      <c r="D86">
        <v>1</v>
      </c>
      <c r="E86" t="s">
        <v>5</v>
      </c>
      <c r="F86" t="s">
        <v>88</v>
      </c>
      <c r="H86">
        <v>1</v>
      </c>
    </row>
    <row r="87" spans="1:8" x14ac:dyDescent="0.45">
      <c r="A87">
        <v>1.5</v>
      </c>
      <c r="B87" t="s">
        <v>620</v>
      </c>
      <c r="C87">
        <v>801</v>
      </c>
      <c r="D87">
        <v>2</v>
      </c>
      <c r="E87" t="s">
        <v>5</v>
      </c>
      <c r="F87" t="s">
        <v>630</v>
      </c>
      <c r="H87">
        <v>1</v>
      </c>
    </row>
    <row r="88" spans="1:8" x14ac:dyDescent="0.45">
      <c r="A88">
        <v>1.5</v>
      </c>
      <c r="B88" t="s">
        <v>620</v>
      </c>
      <c r="C88">
        <v>801</v>
      </c>
      <c r="D88">
        <v>3</v>
      </c>
      <c r="E88" t="s">
        <v>5</v>
      </c>
      <c r="F88" t="s">
        <v>631</v>
      </c>
      <c r="H88">
        <v>1</v>
      </c>
    </row>
    <row r="89" spans="1:8" x14ac:dyDescent="0.45">
      <c r="A89">
        <v>1.5</v>
      </c>
      <c r="B89" t="s">
        <v>620</v>
      </c>
      <c r="C89">
        <v>801</v>
      </c>
      <c r="D89">
        <v>4</v>
      </c>
      <c r="E89" t="s">
        <v>7</v>
      </c>
      <c r="F89" t="s">
        <v>9</v>
      </c>
      <c r="H89">
        <v>1</v>
      </c>
    </row>
    <row r="90" spans="1:8" x14ac:dyDescent="0.45">
      <c r="A90">
        <v>1.5</v>
      </c>
      <c r="B90" t="s">
        <v>620</v>
      </c>
      <c r="C90">
        <v>801</v>
      </c>
      <c r="D90">
        <v>5</v>
      </c>
      <c r="E90" t="s">
        <v>5</v>
      </c>
      <c r="F90" t="s">
        <v>630</v>
      </c>
      <c r="H90">
        <v>1</v>
      </c>
    </row>
    <row r="91" spans="1:8" x14ac:dyDescent="0.45">
      <c r="A91">
        <v>1.5</v>
      </c>
      <c r="B91" t="s">
        <v>620</v>
      </c>
      <c r="C91">
        <v>401</v>
      </c>
      <c r="D91">
        <v>1</v>
      </c>
      <c r="E91" t="s">
        <v>5</v>
      </c>
      <c r="F91" t="s">
        <v>632</v>
      </c>
      <c r="G91" t="s">
        <v>171</v>
      </c>
      <c r="H91">
        <v>1</v>
      </c>
    </row>
    <row r="92" spans="1:8" x14ac:dyDescent="0.45">
      <c r="A92">
        <v>1.5</v>
      </c>
      <c r="B92" t="s">
        <v>620</v>
      </c>
      <c r="C92">
        <v>401</v>
      </c>
      <c r="D92">
        <v>2</v>
      </c>
      <c r="E92" t="s">
        <v>5</v>
      </c>
      <c r="F92" t="s">
        <v>633</v>
      </c>
      <c r="H92">
        <v>1</v>
      </c>
    </row>
    <row r="93" spans="1:8" x14ac:dyDescent="0.45">
      <c r="A93">
        <v>1.5</v>
      </c>
      <c r="B93" t="s">
        <v>620</v>
      </c>
      <c r="C93">
        <v>401</v>
      </c>
      <c r="D93">
        <v>3</v>
      </c>
      <c r="E93" t="s">
        <v>5</v>
      </c>
      <c r="F93" t="s">
        <v>34</v>
      </c>
      <c r="H93">
        <v>1</v>
      </c>
    </row>
    <row r="94" spans="1:8" x14ac:dyDescent="0.45">
      <c r="A94">
        <v>1.5</v>
      </c>
      <c r="B94" t="s">
        <v>620</v>
      </c>
      <c r="C94">
        <v>401</v>
      </c>
      <c r="D94">
        <v>4</v>
      </c>
      <c r="E94" t="s">
        <v>18</v>
      </c>
      <c r="F94" t="s">
        <v>119</v>
      </c>
      <c r="H94">
        <v>1</v>
      </c>
    </row>
    <row r="95" spans="1:8" x14ac:dyDescent="0.45">
      <c r="A95">
        <v>1.5</v>
      </c>
      <c r="B95" t="s">
        <v>620</v>
      </c>
      <c r="C95">
        <v>401</v>
      </c>
      <c r="D95">
        <v>5</v>
      </c>
      <c r="E95" t="s">
        <v>18</v>
      </c>
      <c r="F95" t="s">
        <v>29</v>
      </c>
      <c r="H95">
        <v>1</v>
      </c>
    </row>
    <row r="96" spans="1:8" x14ac:dyDescent="0.45">
      <c r="A96">
        <v>1.5</v>
      </c>
      <c r="B96" t="s">
        <v>620</v>
      </c>
      <c r="C96">
        <v>401</v>
      </c>
      <c r="D96">
        <v>6</v>
      </c>
      <c r="E96" t="s">
        <v>5</v>
      </c>
      <c r="F96" t="s">
        <v>126</v>
      </c>
      <c r="H96">
        <v>1</v>
      </c>
    </row>
    <row r="97" spans="1:8" x14ac:dyDescent="0.45">
      <c r="A97">
        <v>1.5</v>
      </c>
      <c r="B97" t="s">
        <v>620</v>
      </c>
      <c r="C97">
        <v>1</v>
      </c>
      <c r="D97">
        <v>1</v>
      </c>
      <c r="E97" t="s">
        <v>5</v>
      </c>
      <c r="F97" t="s">
        <v>635</v>
      </c>
      <c r="G97" t="s">
        <v>171</v>
      </c>
      <c r="H97">
        <v>1</v>
      </c>
    </row>
    <row r="98" spans="1:8" x14ac:dyDescent="0.45">
      <c r="A98">
        <v>1.5</v>
      </c>
      <c r="B98" t="s">
        <v>620</v>
      </c>
      <c r="C98">
        <v>1</v>
      </c>
      <c r="D98">
        <v>2</v>
      </c>
      <c r="E98" t="s">
        <v>7</v>
      </c>
      <c r="F98" t="s">
        <v>9</v>
      </c>
      <c r="H98">
        <v>1</v>
      </c>
    </row>
    <row r="99" spans="1:8" x14ac:dyDescent="0.45">
      <c r="A99">
        <v>1.5</v>
      </c>
      <c r="B99" t="s">
        <v>620</v>
      </c>
      <c r="C99">
        <v>1</v>
      </c>
      <c r="D99">
        <v>3</v>
      </c>
      <c r="E99" t="s">
        <v>5</v>
      </c>
      <c r="F99" t="s">
        <v>353</v>
      </c>
      <c r="G99" t="s">
        <v>171</v>
      </c>
      <c r="H99">
        <v>1</v>
      </c>
    </row>
    <row r="100" spans="1:8" x14ac:dyDescent="0.45">
      <c r="A100">
        <v>1.5</v>
      </c>
      <c r="B100" t="s">
        <v>620</v>
      </c>
      <c r="C100">
        <v>1</v>
      </c>
      <c r="D100">
        <v>4</v>
      </c>
      <c r="E100" t="s">
        <v>7</v>
      </c>
      <c r="F100" t="s">
        <v>11</v>
      </c>
      <c r="H100">
        <v>1</v>
      </c>
    </row>
    <row r="101" spans="1:8" x14ac:dyDescent="0.45">
      <c r="A101">
        <v>1.5</v>
      </c>
      <c r="B101" t="s">
        <v>620</v>
      </c>
      <c r="C101">
        <v>1</v>
      </c>
      <c r="D101">
        <v>5</v>
      </c>
      <c r="E101" t="s">
        <v>18</v>
      </c>
      <c r="F101" t="s">
        <v>636</v>
      </c>
      <c r="H101">
        <v>1</v>
      </c>
    </row>
    <row r="102" spans="1:8" x14ac:dyDescent="0.45">
      <c r="A102">
        <v>1.5</v>
      </c>
      <c r="B102" t="s">
        <v>620</v>
      </c>
      <c r="C102">
        <v>1</v>
      </c>
      <c r="D102">
        <v>6</v>
      </c>
      <c r="E102" t="s">
        <v>5</v>
      </c>
      <c r="F102" t="s">
        <v>637</v>
      </c>
      <c r="H102">
        <v>1</v>
      </c>
    </row>
    <row r="103" spans="1:8" x14ac:dyDescent="0.45">
      <c r="A103">
        <v>1.5</v>
      </c>
      <c r="B103" t="s">
        <v>620</v>
      </c>
      <c r="C103">
        <v>201</v>
      </c>
      <c r="D103">
        <v>1</v>
      </c>
      <c r="E103" t="s">
        <v>18</v>
      </c>
      <c r="F103" t="s">
        <v>13</v>
      </c>
      <c r="G103" t="s">
        <v>171</v>
      </c>
      <c r="H103">
        <v>1</v>
      </c>
    </row>
    <row r="104" spans="1:8" x14ac:dyDescent="0.45">
      <c r="A104">
        <v>1.5</v>
      </c>
      <c r="B104" t="s">
        <v>620</v>
      </c>
      <c r="C104">
        <v>201</v>
      </c>
      <c r="D104">
        <v>2</v>
      </c>
      <c r="E104" t="s">
        <v>5</v>
      </c>
      <c r="F104" t="s">
        <v>638</v>
      </c>
      <c r="H104">
        <v>1</v>
      </c>
    </row>
    <row r="105" spans="1:8" x14ac:dyDescent="0.45">
      <c r="A105">
        <v>1.5</v>
      </c>
      <c r="B105" t="s">
        <v>620</v>
      </c>
      <c r="C105">
        <v>201</v>
      </c>
      <c r="D105">
        <v>3</v>
      </c>
      <c r="E105" t="s">
        <v>18</v>
      </c>
      <c r="F105" t="s">
        <v>639</v>
      </c>
      <c r="H105">
        <v>1</v>
      </c>
    </row>
    <row r="106" spans="1:8" x14ac:dyDescent="0.45">
      <c r="A106">
        <v>1.5</v>
      </c>
      <c r="B106" t="s">
        <v>620</v>
      </c>
      <c r="C106">
        <v>201</v>
      </c>
      <c r="D106">
        <v>4</v>
      </c>
      <c r="E106" t="s">
        <v>7</v>
      </c>
      <c r="F106" t="s">
        <v>9</v>
      </c>
      <c r="H106">
        <v>1</v>
      </c>
    </row>
    <row r="107" spans="1:8" x14ac:dyDescent="0.45">
      <c r="A107">
        <v>1.5</v>
      </c>
      <c r="B107" t="s">
        <v>620</v>
      </c>
      <c r="C107">
        <v>201</v>
      </c>
      <c r="D107">
        <v>5</v>
      </c>
      <c r="E107" t="s">
        <v>18</v>
      </c>
      <c r="F107" t="s">
        <v>640</v>
      </c>
      <c r="G107" t="s">
        <v>171</v>
      </c>
      <c r="H107">
        <v>1</v>
      </c>
    </row>
    <row r="108" spans="1:8" x14ac:dyDescent="0.45">
      <c r="A108">
        <v>1.5</v>
      </c>
      <c r="B108" t="s">
        <v>620</v>
      </c>
      <c r="C108">
        <v>201</v>
      </c>
      <c r="D108">
        <v>6</v>
      </c>
      <c r="E108" t="s">
        <v>5</v>
      </c>
      <c r="F108" t="s">
        <v>354</v>
      </c>
      <c r="H108">
        <v>1</v>
      </c>
    </row>
    <row r="109" spans="1:8" x14ac:dyDescent="0.45">
      <c r="A109">
        <v>1.5</v>
      </c>
      <c r="B109" t="s">
        <v>620</v>
      </c>
      <c r="C109">
        <v>601</v>
      </c>
      <c r="D109">
        <v>1</v>
      </c>
      <c r="E109" t="s">
        <v>5</v>
      </c>
      <c r="F109" t="s">
        <v>634</v>
      </c>
      <c r="H109">
        <v>1</v>
      </c>
    </row>
    <row r="110" spans="1:8" x14ac:dyDescent="0.45">
      <c r="A110">
        <v>1.5</v>
      </c>
      <c r="B110" t="s">
        <v>620</v>
      </c>
      <c r="C110">
        <v>601</v>
      </c>
      <c r="D110">
        <v>2</v>
      </c>
      <c r="E110" t="s">
        <v>5</v>
      </c>
      <c r="F110" t="s">
        <v>642</v>
      </c>
      <c r="H110">
        <v>1</v>
      </c>
    </row>
    <row r="111" spans="1:8" x14ac:dyDescent="0.45">
      <c r="A111">
        <v>1.5</v>
      </c>
      <c r="B111" t="s">
        <v>620</v>
      </c>
      <c r="C111">
        <v>601</v>
      </c>
      <c r="D111">
        <v>3</v>
      </c>
      <c r="E111" t="s">
        <v>7</v>
      </c>
      <c r="F111" t="s">
        <v>9</v>
      </c>
      <c r="H111">
        <v>1</v>
      </c>
    </row>
    <row r="112" spans="1:8" x14ac:dyDescent="0.45">
      <c r="A112">
        <v>1.5</v>
      </c>
      <c r="B112" t="s">
        <v>620</v>
      </c>
      <c r="C112">
        <v>601</v>
      </c>
      <c r="D112">
        <v>4</v>
      </c>
      <c r="E112" t="s">
        <v>5</v>
      </c>
      <c r="F112" t="s">
        <v>644</v>
      </c>
      <c r="H112">
        <v>1</v>
      </c>
    </row>
    <row r="113" spans="1:8" x14ac:dyDescent="0.45">
      <c r="A113">
        <v>1.5</v>
      </c>
      <c r="B113" t="s">
        <v>620</v>
      </c>
      <c r="C113">
        <v>601</v>
      </c>
      <c r="D113">
        <v>5</v>
      </c>
      <c r="E113" t="s">
        <v>18</v>
      </c>
      <c r="F113" t="s">
        <v>645</v>
      </c>
      <c r="H113">
        <v>1</v>
      </c>
    </row>
    <row r="114" spans="1:8" x14ac:dyDescent="0.45">
      <c r="A114">
        <v>1.5</v>
      </c>
      <c r="B114" t="s">
        <v>620</v>
      </c>
      <c r="C114">
        <v>601</v>
      </c>
      <c r="D114">
        <v>6</v>
      </c>
      <c r="E114" t="s">
        <v>18</v>
      </c>
      <c r="F114" t="s">
        <v>634</v>
      </c>
      <c r="H114">
        <v>1</v>
      </c>
    </row>
    <row r="115" spans="1:8" x14ac:dyDescent="0.45">
      <c r="A115">
        <v>1.5</v>
      </c>
      <c r="B115" t="s">
        <v>620</v>
      </c>
      <c r="C115">
        <v>601</v>
      </c>
      <c r="D115">
        <v>7</v>
      </c>
      <c r="E115" t="s">
        <v>5</v>
      </c>
      <c r="F115" t="s">
        <v>159</v>
      </c>
      <c r="H115">
        <v>1</v>
      </c>
    </row>
    <row r="116" spans="1:8" x14ac:dyDescent="0.45">
      <c r="A116">
        <v>1.5</v>
      </c>
      <c r="B116" t="s">
        <v>620</v>
      </c>
      <c r="C116">
        <v>601</v>
      </c>
      <c r="D116">
        <v>8</v>
      </c>
      <c r="E116" t="s">
        <v>5</v>
      </c>
      <c r="F116" t="s">
        <v>30</v>
      </c>
      <c r="H116">
        <v>1</v>
      </c>
    </row>
    <row r="117" spans="1:8" x14ac:dyDescent="0.45">
      <c r="A117">
        <v>1.5</v>
      </c>
      <c r="B117" t="s">
        <v>620</v>
      </c>
      <c r="C117">
        <v>601</v>
      </c>
      <c r="D117">
        <v>9</v>
      </c>
      <c r="E117" t="s">
        <v>5</v>
      </c>
      <c r="F117" t="s">
        <v>643</v>
      </c>
      <c r="H117">
        <v>1</v>
      </c>
    </row>
    <row r="118" spans="1:8" x14ac:dyDescent="0.45">
      <c r="A118">
        <v>1.5</v>
      </c>
      <c r="B118" t="s">
        <v>620</v>
      </c>
      <c r="C118">
        <v>601</v>
      </c>
      <c r="D118">
        <v>10</v>
      </c>
      <c r="E118" t="s">
        <v>5</v>
      </c>
      <c r="F118" t="s">
        <v>641</v>
      </c>
      <c r="H118">
        <v>1</v>
      </c>
    </row>
    <row r="119" spans="1:8" x14ac:dyDescent="0.45">
      <c r="A119">
        <v>1.5</v>
      </c>
      <c r="B119" t="s">
        <v>620</v>
      </c>
      <c r="C119">
        <v>601</v>
      </c>
      <c r="D119">
        <v>11</v>
      </c>
      <c r="E119" t="s">
        <v>7</v>
      </c>
      <c r="F119" t="s">
        <v>9</v>
      </c>
      <c r="H119">
        <v>1</v>
      </c>
    </row>
    <row r="120" spans="1:8" x14ac:dyDescent="0.45">
      <c r="A120">
        <v>1.5</v>
      </c>
      <c r="B120" t="s">
        <v>620</v>
      </c>
      <c r="C120">
        <v>601</v>
      </c>
      <c r="D120">
        <v>12</v>
      </c>
      <c r="E120" t="s">
        <v>18</v>
      </c>
      <c r="F120" t="s">
        <v>646</v>
      </c>
      <c r="H120">
        <v>1</v>
      </c>
    </row>
    <row r="121" spans="1:8" x14ac:dyDescent="0.45">
      <c r="A121">
        <v>1.5</v>
      </c>
      <c r="B121" t="s">
        <v>620</v>
      </c>
      <c r="C121">
        <v>1001</v>
      </c>
      <c r="D121">
        <v>1</v>
      </c>
      <c r="E121" t="s">
        <v>5</v>
      </c>
      <c r="F121" t="s">
        <v>649</v>
      </c>
      <c r="H121">
        <v>1</v>
      </c>
    </row>
    <row r="122" spans="1:8" x14ac:dyDescent="0.45">
      <c r="A122">
        <v>1.5</v>
      </c>
      <c r="B122" t="s">
        <v>620</v>
      </c>
      <c r="C122">
        <v>1001</v>
      </c>
      <c r="D122">
        <v>2</v>
      </c>
      <c r="E122" t="s">
        <v>5</v>
      </c>
      <c r="F122" t="s">
        <v>648</v>
      </c>
      <c r="H122">
        <v>1</v>
      </c>
    </row>
    <row r="123" spans="1:8" x14ac:dyDescent="0.45">
      <c r="A123">
        <v>1.5</v>
      </c>
      <c r="B123" t="s">
        <v>620</v>
      </c>
      <c r="C123">
        <v>1001</v>
      </c>
      <c r="D123">
        <v>3</v>
      </c>
      <c r="E123" t="s">
        <v>5</v>
      </c>
      <c r="F123" t="s">
        <v>647</v>
      </c>
      <c r="G123" t="s">
        <v>171</v>
      </c>
      <c r="H123">
        <v>1</v>
      </c>
    </row>
    <row r="124" spans="1:8" x14ac:dyDescent="0.45">
      <c r="A124">
        <v>1.5</v>
      </c>
      <c r="B124" t="s">
        <v>620</v>
      </c>
      <c r="C124">
        <v>1001</v>
      </c>
      <c r="D124">
        <v>4</v>
      </c>
      <c r="E124" t="s">
        <v>18</v>
      </c>
      <c r="F124" t="s">
        <v>650</v>
      </c>
      <c r="H124">
        <v>1</v>
      </c>
    </row>
    <row r="125" spans="1:8" x14ac:dyDescent="0.45">
      <c r="A125">
        <v>1.5</v>
      </c>
      <c r="B125" t="s">
        <v>620</v>
      </c>
      <c r="C125">
        <v>1001</v>
      </c>
      <c r="D125">
        <v>5</v>
      </c>
      <c r="E125" t="s">
        <v>5</v>
      </c>
      <c r="F125" t="s">
        <v>651</v>
      </c>
      <c r="G125" t="s">
        <v>171</v>
      </c>
      <c r="H125">
        <v>1</v>
      </c>
    </row>
    <row r="126" spans="1:8" x14ac:dyDescent="0.45">
      <c r="A126">
        <v>1.5</v>
      </c>
      <c r="B126" t="s">
        <v>620</v>
      </c>
      <c r="C126">
        <v>1001</v>
      </c>
      <c r="D126">
        <v>6</v>
      </c>
      <c r="E126" t="s">
        <v>5</v>
      </c>
      <c r="F126" t="s">
        <v>652</v>
      </c>
      <c r="H126">
        <v>1</v>
      </c>
    </row>
    <row r="127" spans="1:8" x14ac:dyDescent="0.45">
      <c r="A127">
        <v>1.5</v>
      </c>
      <c r="B127" t="s">
        <v>620</v>
      </c>
      <c r="C127">
        <v>1401</v>
      </c>
      <c r="D127">
        <v>1</v>
      </c>
      <c r="E127" t="s">
        <v>5</v>
      </c>
      <c r="F127" t="s">
        <v>653</v>
      </c>
      <c r="G127" t="s">
        <v>171</v>
      </c>
      <c r="H127">
        <v>1</v>
      </c>
    </row>
    <row r="128" spans="1:8" x14ac:dyDescent="0.45">
      <c r="A128">
        <v>1.5</v>
      </c>
      <c r="B128" t="s">
        <v>620</v>
      </c>
      <c r="C128">
        <v>1401</v>
      </c>
      <c r="D128">
        <v>2</v>
      </c>
      <c r="E128" t="s">
        <v>5</v>
      </c>
      <c r="F128" t="s">
        <v>654</v>
      </c>
      <c r="H128">
        <v>1</v>
      </c>
    </row>
    <row r="129" spans="1:8" x14ac:dyDescent="0.45">
      <c r="A129">
        <v>1.5</v>
      </c>
      <c r="B129" t="s">
        <v>620</v>
      </c>
      <c r="C129">
        <v>1401</v>
      </c>
      <c r="D129">
        <v>3</v>
      </c>
      <c r="E129" t="s">
        <v>5</v>
      </c>
      <c r="F129" t="s">
        <v>179</v>
      </c>
      <c r="G129" t="s">
        <v>171</v>
      </c>
      <c r="H129">
        <v>1</v>
      </c>
    </row>
    <row r="130" spans="1:8" x14ac:dyDescent="0.45">
      <c r="A130">
        <v>1.5</v>
      </c>
      <c r="B130" t="s">
        <v>620</v>
      </c>
      <c r="C130">
        <v>1801</v>
      </c>
      <c r="D130">
        <v>1</v>
      </c>
      <c r="E130" t="s">
        <v>18</v>
      </c>
      <c r="F130" t="s">
        <v>655</v>
      </c>
      <c r="G130" t="s">
        <v>171</v>
      </c>
      <c r="H130">
        <v>1</v>
      </c>
    </row>
    <row r="131" spans="1:8" x14ac:dyDescent="0.45">
      <c r="A131">
        <v>1.5</v>
      </c>
      <c r="B131" t="s">
        <v>620</v>
      </c>
      <c r="C131">
        <v>1801</v>
      </c>
      <c r="D131">
        <v>2</v>
      </c>
      <c r="E131" t="s">
        <v>5</v>
      </c>
      <c r="F131" t="s">
        <v>656</v>
      </c>
      <c r="H131">
        <v>1</v>
      </c>
    </row>
    <row r="132" spans="1:8" x14ac:dyDescent="0.45">
      <c r="A132">
        <v>1.5</v>
      </c>
      <c r="B132" t="s">
        <v>620</v>
      </c>
      <c r="C132">
        <v>1801</v>
      </c>
      <c r="D132">
        <v>3</v>
      </c>
      <c r="E132" t="s">
        <v>18</v>
      </c>
      <c r="F132" t="s">
        <v>657</v>
      </c>
      <c r="H132">
        <v>1</v>
      </c>
    </row>
    <row r="133" spans="1:8" x14ac:dyDescent="0.45">
      <c r="A133">
        <v>1.5</v>
      </c>
      <c r="D133">
        <v>1</v>
      </c>
      <c r="H133">
        <v>1</v>
      </c>
    </row>
    <row r="134" spans="1:8" x14ac:dyDescent="0.45">
      <c r="A134">
        <v>1.5</v>
      </c>
      <c r="D134">
        <v>2</v>
      </c>
      <c r="H134">
        <v>1</v>
      </c>
    </row>
    <row r="135" spans="1:8" x14ac:dyDescent="0.45">
      <c r="A135">
        <v>1.5</v>
      </c>
      <c r="H135">
        <v>1</v>
      </c>
    </row>
    <row r="136" spans="1:8" x14ac:dyDescent="0.45">
      <c r="A136">
        <v>1.5</v>
      </c>
      <c r="H136">
        <v>1</v>
      </c>
    </row>
    <row r="137" spans="1:8" x14ac:dyDescent="0.45">
      <c r="A137">
        <v>1.5</v>
      </c>
      <c r="H137">
        <v>1</v>
      </c>
    </row>
    <row r="138" spans="1:8" x14ac:dyDescent="0.45">
      <c r="A138">
        <v>1.5</v>
      </c>
      <c r="H138">
        <v>1</v>
      </c>
    </row>
    <row r="139" spans="1:8" x14ac:dyDescent="0.45">
      <c r="A139">
        <v>1.5</v>
      </c>
      <c r="H139">
        <v>1</v>
      </c>
    </row>
    <row r="140" spans="1:8" x14ac:dyDescent="0.45">
      <c r="A140">
        <v>1.5</v>
      </c>
      <c r="H140">
        <v>1</v>
      </c>
    </row>
    <row r="141" spans="1:8" x14ac:dyDescent="0.45">
      <c r="A141">
        <v>1.5</v>
      </c>
      <c r="H141">
        <v>1</v>
      </c>
    </row>
    <row r="142" spans="1:8" x14ac:dyDescent="0.45">
      <c r="A142">
        <v>1.5</v>
      </c>
      <c r="H142">
        <v>1</v>
      </c>
    </row>
    <row r="143" spans="1:8" x14ac:dyDescent="0.45">
      <c r="A143">
        <v>1.5</v>
      </c>
      <c r="H143">
        <v>1</v>
      </c>
    </row>
    <row r="144" spans="1:8" x14ac:dyDescent="0.45">
      <c r="A144">
        <v>1.5</v>
      </c>
      <c r="H144">
        <v>1</v>
      </c>
    </row>
    <row r="145" spans="1:8" x14ac:dyDescent="0.45">
      <c r="A145">
        <v>1.5</v>
      </c>
      <c r="H145">
        <v>1</v>
      </c>
    </row>
    <row r="146" spans="1:8" x14ac:dyDescent="0.45">
      <c r="A146">
        <v>1.5</v>
      </c>
      <c r="H146">
        <v>1</v>
      </c>
    </row>
    <row r="147" spans="1:8" x14ac:dyDescent="0.45">
      <c r="A147">
        <v>1.5</v>
      </c>
      <c r="H147">
        <v>1</v>
      </c>
    </row>
    <row r="148" spans="1:8" x14ac:dyDescent="0.45">
      <c r="A148">
        <v>1.5</v>
      </c>
      <c r="H148">
        <v>1</v>
      </c>
    </row>
    <row r="149" spans="1:8" x14ac:dyDescent="0.45">
      <c r="A149">
        <v>1.5</v>
      </c>
      <c r="H149">
        <v>1</v>
      </c>
    </row>
    <row r="150" spans="1:8" x14ac:dyDescent="0.45">
      <c r="A150">
        <v>1.5</v>
      </c>
      <c r="H150">
        <v>1</v>
      </c>
    </row>
    <row r="151" spans="1:8" x14ac:dyDescent="0.45">
      <c r="A151">
        <v>1.5</v>
      </c>
      <c r="H151">
        <v>1</v>
      </c>
    </row>
    <row r="152" spans="1:8" x14ac:dyDescent="0.45">
      <c r="A152">
        <v>1.5</v>
      </c>
      <c r="H152">
        <v>1</v>
      </c>
    </row>
    <row r="153" spans="1:8" x14ac:dyDescent="0.45">
      <c r="A153">
        <v>1.5</v>
      </c>
      <c r="H153">
        <v>1</v>
      </c>
    </row>
    <row r="154" spans="1:8" x14ac:dyDescent="0.45">
      <c r="A154">
        <v>1.5</v>
      </c>
      <c r="H154">
        <v>1</v>
      </c>
    </row>
    <row r="155" spans="1:8" x14ac:dyDescent="0.45">
      <c r="A155">
        <v>1.5</v>
      </c>
      <c r="H155">
        <v>1</v>
      </c>
    </row>
    <row r="156" spans="1:8" x14ac:dyDescent="0.45">
      <c r="A156">
        <v>1.5</v>
      </c>
      <c r="H156">
        <v>1</v>
      </c>
    </row>
    <row r="157" spans="1:8" x14ac:dyDescent="0.45">
      <c r="A157">
        <v>1.5</v>
      </c>
      <c r="H157">
        <v>1</v>
      </c>
    </row>
    <row r="158" spans="1:8" x14ac:dyDescent="0.45">
      <c r="A158">
        <v>1.5</v>
      </c>
      <c r="H158">
        <v>1</v>
      </c>
    </row>
    <row r="159" spans="1:8" x14ac:dyDescent="0.45">
      <c r="A159">
        <v>1.5</v>
      </c>
      <c r="H159">
        <v>1</v>
      </c>
    </row>
    <row r="160" spans="1:8" x14ac:dyDescent="0.45">
      <c r="A160">
        <v>1.5</v>
      </c>
      <c r="H160">
        <v>1</v>
      </c>
    </row>
    <row r="161" spans="1:8" x14ac:dyDescent="0.45">
      <c r="A161">
        <v>1.5</v>
      </c>
      <c r="H161">
        <v>1</v>
      </c>
    </row>
    <row r="162" spans="1:8" x14ac:dyDescent="0.45">
      <c r="A162">
        <v>1.5</v>
      </c>
      <c r="H162">
        <v>1</v>
      </c>
    </row>
    <row r="163" spans="1:8" x14ac:dyDescent="0.45">
      <c r="A163">
        <v>1.5</v>
      </c>
      <c r="H163">
        <v>1</v>
      </c>
    </row>
    <row r="164" spans="1:8" x14ac:dyDescent="0.45">
      <c r="A164">
        <v>1.5</v>
      </c>
      <c r="H164">
        <v>1</v>
      </c>
    </row>
    <row r="165" spans="1:8" x14ac:dyDescent="0.45">
      <c r="A165">
        <v>1.5</v>
      </c>
      <c r="H165">
        <v>1</v>
      </c>
    </row>
    <row r="166" spans="1:8" x14ac:dyDescent="0.45">
      <c r="A166">
        <v>1.5</v>
      </c>
      <c r="H166">
        <v>1</v>
      </c>
    </row>
    <row r="167" spans="1:8" x14ac:dyDescent="0.45">
      <c r="A167">
        <v>1.5</v>
      </c>
      <c r="H167">
        <v>1</v>
      </c>
    </row>
    <row r="168" spans="1:8" x14ac:dyDescent="0.45">
      <c r="A168">
        <v>1.5</v>
      </c>
      <c r="H168">
        <v>1</v>
      </c>
    </row>
    <row r="169" spans="1:8" x14ac:dyDescent="0.45">
      <c r="A169">
        <v>1.5</v>
      </c>
      <c r="H169">
        <v>1</v>
      </c>
    </row>
    <row r="170" spans="1:8" x14ac:dyDescent="0.45">
      <c r="A170">
        <v>1.5</v>
      </c>
      <c r="H170">
        <v>1</v>
      </c>
    </row>
    <row r="171" spans="1:8" x14ac:dyDescent="0.45">
      <c r="A171">
        <v>1.5</v>
      </c>
      <c r="H171">
        <v>1</v>
      </c>
    </row>
    <row r="172" spans="1:8" x14ac:dyDescent="0.45">
      <c r="A172">
        <v>1.5</v>
      </c>
      <c r="H172">
        <v>1</v>
      </c>
    </row>
    <row r="173" spans="1:8" x14ac:dyDescent="0.45">
      <c r="A173">
        <v>1.5</v>
      </c>
      <c r="H173">
        <v>1</v>
      </c>
    </row>
    <row r="174" spans="1:8" x14ac:dyDescent="0.45">
      <c r="A174">
        <v>1.5</v>
      </c>
      <c r="H174">
        <v>1</v>
      </c>
    </row>
    <row r="175" spans="1:8" x14ac:dyDescent="0.45">
      <c r="A175">
        <v>1.5</v>
      </c>
      <c r="H175">
        <v>1</v>
      </c>
    </row>
    <row r="176" spans="1:8" x14ac:dyDescent="0.45">
      <c r="A176">
        <v>1.5</v>
      </c>
      <c r="H176">
        <v>1</v>
      </c>
    </row>
    <row r="177" spans="1:8" x14ac:dyDescent="0.45">
      <c r="A177">
        <v>1.5</v>
      </c>
      <c r="H177">
        <v>1</v>
      </c>
    </row>
    <row r="178" spans="1:8" x14ac:dyDescent="0.45">
      <c r="A178">
        <v>1.5</v>
      </c>
      <c r="H178">
        <v>1</v>
      </c>
    </row>
    <row r="179" spans="1:8" x14ac:dyDescent="0.45">
      <c r="A179">
        <v>1.5</v>
      </c>
      <c r="H179">
        <v>1</v>
      </c>
    </row>
    <row r="180" spans="1:8" x14ac:dyDescent="0.45">
      <c r="A180">
        <v>1.5</v>
      </c>
      <c r="H180">
        <v>1</v>
      </c>
    </row>
    <row r="181" spans="1:8" x14ac:dyDescent="0.45">
      <c r="A181">
        <v>1.5</v>
      </c>
      <c r="H181">
        <v>1</v>
      </c>
    </row>
    <row r="182" spans="1:8" x14ac:dyDescent="0.45">
      <c r="A182">
        <v>1.5</v>
      </c>
      <c r="H182">
        <v>1</v>
      </c>
    </row>
    <row r="183" spans="1:8" x14ac:dyDescent="0.45">
      <c r="A183">
        <v>1.5</v>
      </c>
      <c r="H183">
        <v>1</v>
      </c>
    </row>
    <row r="184" spans="1:8" x14ac:dyDescent="0.45">
      <c r="A184">
        <v>1.5</v>
      </c>
      <c r="H184">
        <v>1</v>
      </c>
    </row>
    <row r="185" spans="1:8" x14ac:dyDescent="0.45">
      <c r="A185">
        <v>1.5</v>
      </c>
      <c r="H185">
        <v>1</v>
      </c>
    </row>
    <row r="186" spans="1:8" x14ac:dyDescent="0.45">
      <c r="A186">
        <v>1.5</v>
      </c>
      <c r="H186">
        <v>1</v>
      </c>
    </row>
    <row r="187" spans="1:8" x14ac:dyDescent="0.45">
      <c r="A187">
        <v>1.5</v>
      </c>
      <c r="H187">
        <v>1</v>
      </c>
    </row>
    <row r="188" spans="1:8" x14ac:dyDescent="0.45">
      <c r="A188">
        <v>1.5</v>
      </c>
      <c r="H188">
        <v>1</v>
      </c>
    </row>
    <row r="189" spans="1:8" x14ac:dyDescent="0.45">
      <c r="A189">
        <v>1.5</v>
      </c>
      <c r="H189">
        <v>1</v>
      </c>
    </row>
    <row r="190" spans="1:8" x14ac:dyDescent="0.45">
      <c r="A190">
        <v>1.5</v>
      </c>
      <c r="H190">
        <v>1</v>
      </c>
    </row>
    <row r="191" spans="1:8" x14ac:dyDescent="0.45">
      <c r="A191">
        <v>1.5</v>
      </c>
      <c r="H191">
        <v>1</v>
      </c>
    </row>
    <row r="192" spans="1:8" x14ac:dyDescent="0.45">
      <c r="A192">
        <v>1.5</v>
      </c>
      <c r="H192">
        <v>1</v>
      </c>
    </row>
    <row r="193" spans="1:8" x14ac:dyDescent="0.45">
      <c r="A193">
        <v>1.5</v>
      </c>
      <c r="H193">
        <v>1</v>
      </c>
    </row>
    <row r="194" spans="1:8" x14ac:dyDescent="0.45">
      <c r="A194">
        <v>1.5</v>
      </c>
      <c r="H194">
        <v>1</v>
      </c>
    </row>
    <row r="195" spans="1:8" x14ac:dyDescent="0.45">
      <c r="A195">
        <v>1.5</v>
      </c>
      <c r="H195">
        <v>1</v>
      </c>
    </row>
    <row r="196" spans="1:8" x14ac:dyDescent="0.45">
      <c r="A196">
        <v>1.5</v>
      </c>
      <c r="H196">
        <v>1</v>
      </c>
    </row>
    <row r="197" spans="1:8" x14ac:dyDescent="0.45">
      <c r="A197">
        <v>1.5</v>
      </c>
      <c r="H197">
        <v>1</v>
      </c>
    </row>
    <row r="198" spans="1:8" x14ac:dyDescent="0.45">
      <c r="A198">
        <v>1.5</v>
      </c>
      <c r="H198">
        <v>1</v>
      </c>
    </row>
    <row r="199" spans="1:8" x14ac:dyDescent="0.45">
      <c r="A199">
        <v>1.5</v>
      </c>
      <c r="H199">
        <v>1</v>
      </c>
    </row>
    <row r="200" spans="1:8" x14ac:dyDescent="0.45">
      <c r="A200">
        <v>1.5</v>
      </c>
      <c r="H200">
        <v>1</v>
      </c>
    </row>
    <row r="201" spans="1:8" x14ac:dyDescent="0.45">
      <c r="A201">
        <v>1.5</v>
      </c>
      <c r="H201">
        <v>1</v>
      </c>
    </row>
    <row r="202" spans="1:8" x14ac:dyDescent="0.45">
      <c r="A202">
        <v>1.5</v>
      </c>
      <c r="H202">
        <v>1</v>
      </c>
    </row>
    <row r="203" spans="1:8" x14ac:dyDescent="0.45">
      <c r="A203">
        <v>1.5</v>
      </c>
      <c r="H203">
        <v>1</v>
      </c>
    </row>
    <row r="204" spans="1:8" x14ac:dyDescent="0.45">
      <c r="A204">
        <v>1.5</v>
      </c>
      <c r="H204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6601-773D-4DE5-8CF4-3EAB242F91FD}">
  <dimension ref="A1:M191"/>
  <sheetViews>
    <sheetView tabSelected="1" workbookViewId="0">
      <pane ySplit="3" topLeftCell="A73" activePane="bottomLeft" state="frozen"/>
      <selection pane="bottomLeft" activeCell="E100" sqref="E100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1.4</v>
      </c>
      <c r="B2" t="s">
        <v>285</v>
      </c>
      <c r="C2">
        <v>1</v>
      </c>
      <c r="D2">
        <v>1</v>
      </c>
      <c r="E2" t="s">
        <v>5</v>
      </c>
      <c r="F2" t="s">
        <v>240</v>
      </c>
      <c r="G2" t="s">
        <v>171</v>
      </c>
      <c r="H2">
        <v>1</v>
      </c>
      <c r="I2" t="s">
        <v>5</v>
      </c>
      <c r="J2">
        <f>COUNTIFS(E:E,"*F*",H:H,1)</f>
        <v>80</v>
      </c>
      <c r="K2">
        <f>J2+J3</f>
        <v>104</v>
      </c>
      <c r="L2">
        <f>J2/K2</f>
        <v>0.76923076923076927</v>
      </c>
      <c r="M2">
        <f>SQRT(L2*L3/K2)</f>
        <v>4.1314319656121132E-2</v>
      </c>
    </row>
    <row r="3" spans="1:13" x14ac:dyDescent="0.45">
      <c r="A3">
        <v>1.4</v>
      </c>
      <c r="B3" t="s">
        <v>285</v>
      </c>
      <c r="C3">
        <v>1</v>
      </c>
      <c r="D3">
        <v>2</v>
      </c>
      <c r="E3" t="s">
        <v>5</v>
      </c>
      <c r="F3" t="s">
        <v>108</v>
      </c>
      <c r="H3">
        <v>1</v>
      </c>
      <c r="I3" t="s">
        <v>18</v>
      </c>
      <c r="J3">
        <f>COUNTIFS(E:E,"*B*",H:H,1)</f>
        <v>24</v>
      </c>
      <c r="L3">
        <f>J3/K2</f>
        <v>0.23076923076923078</v>
      </c>
    </row>
    <row r="4" spans="1:13" x14ac:dyDescent="0.45">
      <c r="A4">
        <v>1.4</v>
      </c>
      <c r="B4" t="s">
        <v>285</v>
      </c>
      <c r="C4">
        <v>1</v>
      </c>
      <c r="D4">
        <v>3</v>
      </c>
      <c r="E4" t="s">
        <v>5</v>
      </c>
      <c r="F4" t="s">
        <v>105</v>
      </c>
      <c r="G4" t="s">
        <v>171</v>
      </c>
      <c r="H4">
        <v>1</v>
      </c>
      <c r="I4" t="s">
        <v>7</v>
      </c>
      <c r="J4">
        <f>COUNTIFS(E:E,"*U*",H:H,1)</f>
        <v>43</v>
      </c>
    </row>
    <row r="5" spans="1:13" x14ac:dyDescent="0.45">
      <c r="A5">
        <v>1.4</v>
      </c>
      <c r="B5" t="s">
        <v>285</v>
      </c>
      <c r="C5">
        <v>1</v>
      </c>
      <c r="D5">
        <v>4</v>
      </c>
      <c r="E5" t="s">
        <v>7</v>
      </c>
      <c r="F5" t="s">
        <v>10</v>
      </c>
      <c r="H5">
        <v>1</v>
      </c>
    </row>
    <row r="6" spans="1:13" x14ac:dyDescent="0.45">
      <c r="A6">
        <v>1.4</v>
      </c>
      <c r="B6" t="s">
        <v>285</v>
      </c>
      <c r="C6">
        <v>1</v>
      </c>
      <c r="D6">
        <v>5</v>
      </c>
      <c r="E6" t="s">
        <v>18</v>
      </c>
      <c r="F6" t="s">
        <v>286</v>
      </c>
      <c r="H6">
        <v>1</v>
      </c>
    </row>
    <row r="7" spans="1:13" x14ac:dyDescent="0.45">
      <c r="A7">
        <v>1.4</v>
      </c>
      <c r="B7" t="s">
        <v>285</v>
      </c>
      <c r="C7">
        <v>401</v>
      </c>
      <c r="D7">
        <v>1</v>
      </c>
      <c r="E7" t="s">
        <v>5</v>
      </c>
      <c r="F7" t="s">
        <v>287</v>
      </c>
      <c r="H7">
        <v>1</v>
      </c>
    </row>
    <row r="8" spans="1:13" x14ac:dyDescent="0.45">
      <c r="A8">
        <v>1.4</v>
      </c>
      <c r="B8" t="s">
        <v>285</v>
      </c>
      <c r="C8">
        <v>401</v>
      </c>
      <c r="D8">
        <v>2</v>
      </c>
      <c r="E8" t="s">
        <v>7</v>
      </c>
      <c r="F8" t="s">
        <v>10</v>
      </c>
      <c r="H8">
        <v>1</v>
      </c>
    </row>
    <row r="9" spans="1:13" x14ac:dyDescent="0.45">
      <c r="A9">
        <v>1.4</v>
      </c>
      <c r="B9" t="s">
        <v>285</v>
      </c>
      <c r="C9">
        <v>401</v>
      </c>
      <c r="D9">
        <v>3</v>
      </c>
      <c r="E9" t="s">
        <v>7</v>
      </c>
      <c r="F9" t="s">
        <v>10</v>
      </c>
      <c r="H9">
        <v>1</v>
      </c>
    </row>
    <row r="10" spans="1:13" x14ac:dyDescent="0.45">
      <c r="A10">
        <v>1.4</v>
      </c>
      <c r="B10" t="s">
        <v>285</v>
      </c>
      <c r="C10">
        <v>401</v>
      </c>
      <c r="D10">
        <v>4</v>
      </c>
      <c r="E10" t="s">
        <v>5</v>
      </c>
      <c r="F10" t="s">
        <v>288</v>
      </c>
      <c r="G10" t="s">
        <v>171</v>
      </c>
      <c r="H10">
        <v>1</v>
      </c>
    </row>
    <row r="11" spans="1:13" x14ac:dyDescent="0.45">
      <c r="A11">
        <v>1.4</v>
      </c>
      <c r="B11" t="s">
        <v>285</v>
      </c>
      <c r="C11">
        <v>401</v>
      </c>
      <c r="D11">
        <v>5</v>
      </c>
      <c r="E11" t="s">
        <v>18</v>
      </c>
      <c r="F11" t="s">
        <v>123</v>
      </c>
      <c r="H11">
        <v>1</v>
      </c>
    </row>
    <row r="12" spans="1:13" x14ac:dyDescent="0.45">
      <c r="A12">
        <v>1.4</v>
      </c>
      <c r="B12" t="s">
        <v>285</v>
      </c>
      <c r="C12">
        <v>401</v>
      </c>
      <c r="D12">
        <v>6</v>
      </c>
      <c r="E12" t="s">
        <v>7</v>
      </c>
      <c r="F12" t="s">
        <v>9</v>
      </c>
      <c r="H12">
        <v>1</v>
      </c>
    </row>
    <row r="13" spans="1:13" x14ac:dyDescent="0.45">
      <c r="A13">
        <v>1.4</v>
      </c>
      <c r="B13" t="s">
        <v>285</v>
      </c>
      <c r="C13">
        <v>401</v>
      </c>
      <c r="D13">
        <v>7</v>
      </c>
      <c r="E13" t="s">
        <v>5</v>
      </c>
      <c r="F13" t="s">
        <v>121</v>
      </c>
      <c r="H13">
        <v>1</v>
      </c>
    </row>
    <row r="14" spans="1:13" x14ac:dyDescent="0.45">
      <c r="A14">
        <v>1.4</v>
      </c>
      <c r="B14" t="s">
        <v>285</v>
      </c>
      <c r="C14">
        <v>401</v>
      </c>
      <c r="D14">
        <v>8</v>
      </c>
      <c r="E14" t="s">
        <v>7</v>
      </c>
      <c r="F14" t="s">
        <v>10</v>
      </c>
      <c r="H14">
        <v>1</v>
      </c>
    </row>
    <row r="15" spans="1:13" x14ac:dyDescent="0.45">
      <c r="A15">
        <v>1.4</v>
      </c>
      <c r="B15" t="s">
        <v>285</v>
      </c>
      <c r="C15">
        <v>401</v>
      </c>
      <c r="D15">
        <v>9</v>
      </c>
      <c r="E15" t="s">
        <v>18</v>
      </c>
      <c r="F15" t="s">
        <v>289</v>
      </c>
      <c r="H15">
        <v>1</v>
      </c>
    </row>
    <row r="16" spans="1:13" x14ac:dyDescent="0.45">
      <c r="A16">
        <v>1.4</v>
      </c>
      <c r="B16" t="s">
        <v>285</v>
      </c>
      <c r="C16">
        <v>401</v>
      </c>
      <c r="D16">
        <v>10</v>
      </c>
      <c r="E16" t="s">
        <v>7</v>
      </c>
      <c r="F16" t="s">
        <v>9</v>
      </c>
      <c r="H16">
        <v>1</v>
      </c>
    </row>
    <row r="17" spans="1:8" x14ac:dyDescent="0.45">
      <c r="A17">
        <v>1.4</v>
      </c>
      <c r="B17" t="s">
        <v>285</v>
      </c>
      <c r="C17">
        <v>801</v>
      </c>
      <c r="D17">
        <v>1</v>
      </c>
      <c r="E17" t="s">
        <v>18</v>
      </c>
      <c r="F17" t="s">
        <v>290</v>
      </c>
      <c r="H17">
        <v>1</v>
      </c>
    </row>
    <row r="18" spans="1:8" x14ac:dyDescent="0.45">
      <c r="A18">
        <v>1.4</v>
      </c>
      <c r="B18" t="s">
        <v>285</v>
      </c>
      <c r="C18">
        <v>801</v>
      </c>
      <c r="D18">
        <v>2</v>
      </c>
      <c r="E18" t="s">
        <v>18</v>
      </c>
      <c r="F18" t="s">
        <v>88</v>
      </c>
      <c r="H18">
        <v>1</v>
      </c>
    </row>
    <row r="19" spans="1:8" x14ac:dyDescent="0.45">
      <c r="A19">
        <v>1.4</v>
      </c>
      <c r="B19" t="s">
        <v>285</v>
      </c>
      <c r="C19">
        <v>801</v>
      </c>
      <c r="D19">
        <v>3</v>
      </c>
      <c r="E19" t="s">
        <v>5</v>
      </c>
      <c r="F19" t="s">
        <v>130</v>
      </c>
      <c r="H19">
        <v>1</v>
      </c>
    </row>
    <row r="20" spans="1:8" x14ac:dyDescent="0.45">
      <c r="A20">
        <v>1.4</v>
      </c>
      <c r="B20" t="s">
        <v>285</v>
      </c>
      <c r="C20">
        <v>801</v>
      </c>
      <c r="D20">
        <v>4</v>
      </c>
      <c r="E20" t="s">
        <v>5</v>
      </c>
      <c r="F20" t="s">
        <v>291</v>
      </c>
      <c r="H20">
        <v>1</v>
      </c>
    </row>
    <row r="21" spans="1:8" x14ac:dyDescent="0.45">
      <c r="A21">
        <v>1.4</v>
      </c>
      <c r="B21" t="s">
        <v>285</v>
      </c>
      <c r="C21">
        <v>801</v>
      </c>
      <c r="D21">
        <v>5</v>
      </c>
      <c r="E21" t="s">
        <v>7</v>
      </c>
      <c r="F21" t="s">
        <v>9</v>
      </c>
      <c r="H21">
        <v>1</v>
      </c>
    </row>
    <row r="22" spans="1:8" x14ac:dyDescent="0.45">
      <c r="A22">
        <v>1.4</v>
      </c>
      <c r="B22" t="s">
        <v>285</v>
      </c>
      <c r="C22">
        <v>801</v>
      </c>
      <c r="D22">
        <v>6</v>
      </c>
      <c r="E22" t="s">
        <v>5</v>
      </c>
      <c r="F22" t="s">
        <v>292</v>
      </c>
      <c r="H22">
        <v>1</v>
      </c>
    </row>
    <row r="23" spans="1:8" x14ac:dyDescent="0.45">
      <c r="A23">
        <v>1.4</v>
      </c>
      <c r="B23" t="s">
        <v>285</v>
      </c>
      <c r="C23">
        <v>801</v>
      </c>
      <c r="D23">
        <v>7</v>
      </c>
      <c r="E23" t="s">
        <v>7</v>
      </c>
      <c r="F23" t="s">
        <v>10</v>
      </c>
      <c r="H23">
        <v>1</v>
      </c>
    </row>
    <row r="24" spans="1:8" x14ac:dyDescent="0.45">
      <c r="A24">
        <v>1.4</v>
      </c>
      <c r="B24" t="s">
        <v>285</v>
      </c>
      <c r="C24">
        <v>801</v>
      </c>
      <c r="D24">
        <v>8</v>
      </c>
      <c r="E24" t="s">
        <v>7</v>
      </c>
      <c r="F24" t="s">
        <v>10</v>
      </c>
      <c r="H24">
        <v>1</v>
      </c>
    </row>
    <row r="25" spans="1:8" x14ac:dyDescent="0.45">
      <c r="A25">
        <v>1.4</v>
      </c>
      <c r="B25" t="s">
        <v>285</v>
      </c>
      <c r="C25">
        <v>801</v>
      </c>
      <c r="D25">
        <v>9</v>
      </c>
      <c r="E25" t="s">
        <v>5</v>
      </c>
      <c r="F25" t="s">
        <v>167</v>
      </c>
      <c r="H25">
        <v>1</v>
      </c>
    </row>
    <row r="26" spans="1:8" x14ac:dyDescent="0.45">
      <c r="A26">
        <v>1.4</v>
      </c>
      <c r="B26" t="s">
        <v>285</v>
      </c>
      <c r="C26">
        <v>801</v>
      </c>
      <c r="D26">
        <v>10</v>
      </c>
      <c r="E26" t="s">
        <v>5</v>
      </c>
      <c r="F26" t="s">
        <v>293</v>
      </c>
      <c r="H26">
        <v>1</v>
      </c>
    </row>
    <row r="27" spans="1:8" x14ac:dyDescent="0.45">
      <c r="A27">
        <v>1.4</v>
      </c>
      <c r="B27" t="s">
        <v>285</v>
      </c>
      <c r="C27">
        <v>801</v>
      </c>
      <c r="D27">
        <v>11</v>
      </c>
      <c r="E27" t="s">
        <v>5</v>
      </c>
      <c r="F27" t="s">
        <v>294</v>
      </c>
      <c r="H27">
        <v>1</v>
      </c>
    </row>
    <row r="28" spans="1:8" x14ac:dyDescent="0.45">
      <c r="A28">
        <v>1.4</v>
      </c>
      <c r="B28" t="s">
        <v>285</v>
      </c>
      <c r="C28">
        <v>801</v>
      </c>
      <c r="D28">
        <v>12</v>
      </c>
      <c r="E28" t="s">
        <v>7</v>
      </c>
      <c r="F28" t="s">
        <v>11</v>
      </c>
      <c r="H28">
        <v>1</v>
      </c>
    </row>
    <row r="29" spans="1:8" x14ac:dyDescent="0.45">
      <c r="A29">
        <v>1.4</v>
      </c>
      <c r="B29" t="s">
        <v>285</v>
      </c>
      <c r="C29">
        <v>1201</v>
      </c>
      <c r="D29">
        <v>1</v>
      </c>
      <c r="E29" t="s">
        <v>18</v>
      </c>
      <c r="F29" t="s">
        <v>295</v>
      </c>
      <c r="G29" t="s">
        <v>296</v>
      </c>
      <c r="H29">
        <v>1</v>
      </c>
    </row>
    <row r="30" spans="1:8" x14ac:dyDescent="0.45">
      <c r="A30">
        <v>1.4</v>
      </c>
      <c r="B30" t="s">
        <v>285</v>
      </c>
      <c r="C30">
        <v>1201</v>
      </c>
      <c r="D30">
        <v>2</v>
      </c>
      <c r="E30" t="s">
        <v>5</v>
      </c>
      <c r="F30" t="s">
        <v>186</v>
      </c>
      <c r="H30">
        <v>1</v>
      </c>
    </row>
    <row r="31" spans="1:8" x14ac:dyDescent="0.45">
      <c r="A31">
        <v>1.4</v>
      </c>
      <c r="B31" t="s">
        <v>285</v>
      </c>
      <c r="C31">
        <v>1201</v>
      </c>
      <c r="D31">
        <v>3</v>
      </c>
      <c r="E31" t="s">
        <v>5</v>
      </c>
      <c r="F31" t="s">
        <v>49</v>
      </c>
      <c r="H31">
        <v>1</v>
      </c>
    </row>
    <row r="32" spans="1:8" x14ac:dyDescent="0.45">
      <c r="A32">
        <v>1.4</v>
      </c>
      <c r="B32" t="s">
        <v>285</v>
      </c>
      <c r="C32">
        <v>1201</v>
      </c>
      <c r="D32">
        <v>4</v>
      </c>
      <c r="E32" t="s">
        <v>5</v>
      </c>
      <c r="F32" t="s">
        <v>297</v>
      </c>
      <c r="H32">
        <v>1</v>
      </c>
    </row>
    <row r="33" spans="1:8" x14ac:dyDescent="0.45">
      <c r="A33">
        <v>1.4</v>
      </c>
      <c r="B33" t="s">
        <v>285</v>
      </c>
      <c r="C33">
        <v>1201</v>
      </c>
      <c r="D33">
        <v>5</v>
      </c>
      <c r="E33" t="s">
        <v>5</v>
      </c>
      <c r="F33" t="s">
        <v>298</v>
      </c>
      <c r="H33">
        <v>1</v>
      </c>
    </row>
    <row r="34" spans="1:8" x14ac:dyDescent="0.45">
      <c r="A34">
        <v>1.4</v>
      </c>
      <c r="B34" t="s">
        <v>285</v>
      </c>
      <c r="C34">
        <v>1201</v>
      </c>
      <c r="D34">
        <v>6</v>
      </c>
      <c r="E34" t="s">
        <v>5</v>
      </c>
      <c r="F34" t="s">
        <v>299</v>
      </c>
      <c r="H34">
        <v>1</v>
      </c>
    </row>
    <row r="35" spans="1:8" x14ac:dyDescent="0.45">
      <c r="A35">
        <v>1.4</v>
      </c>
      <c r="B35" t="s">
        <v>285</v>
      </c>
      <c r="C35">
        <v>1201</v>
      </c>
      <c r="D35">
        <v>7</v>
      </c>
      <c r="E35" t="s">
        <v>18</v>
      </c>
      <c r="F35" t="s">
        <v>300</v>
      </c>
      <c r="H35">
        <v>1</v>
      </c>
    </row>
    <row r="36" spans="1:8" x14ac:dyDescent="0.45">
      <c r="A36">
        <v>1.4</v>
      </c>
      <c r="B36" t="s">
        <v>285</v>
      </c>
      <c r="C36">
        <v>1201</v>
      </c>
      <c r="D36">
        <v>8</v>
      </c>
      <c r="E36" t="s">
        <v>5</v>
      </c>
      <c r="F36" t="s">
        <v>49</v>
      </c>
      <c r="H36">
        <v>1</v>
      </c>
    </row>
    <row r="37" spans="1:8" x14ac:dyDescent="0.45">
      <c r="A37">
        <v>1.4</v>
      </c>
      <c r="B37" t="s">
        <v>285</v>
      </c>
      <c r="C37">
        <v>1201</v>
      </c>
      <c r="D37">
        <v>9</v>
      </c>
      <c r="E37" t="s">
        <v>7</v>
      </c>
      <c r="F37" t="s">
        <v>9</v>
      </c>
      <c r="H37">
        <v>1</v>
      </c>
    </row>
    <row r="38" spans="1:8" x14ac:dyDescent="0.45">
      <c r="A38">
        <v>1.4</v>
      </c>
      <c r="B38" t="s">
        <v>285</v>
      </c>
      <c r="C38">
        <v>1201</v>
      </c>
      <c r="D38">
        <v>10</v>
      </c>
      <c r="E38" t="s">
        <v>5</v>
      </c>
      <c r="F38" t="s">
        <v>301</v>
      </c>
      <c r="H38">
        <v>1</v>
      </c>
    </row>
    <row r="39" spans="1:8" x14ac:dyDescent="0.45">
      <c r="A39">
        <v>1.4</v>
      </c>
      <c r="B39" t="s">
        <v>285</v>
      </c>
      <c r="C39">
        <v>1201</v>
      </c>
      <c r="D39">
        <v>11</v>
      </c>
      <c r="E39" t="s">
        <v>7</v>
      </c>
      <c r="F39" t="s">
        <v>10</v>
      </c>
      <c r="H39">
        <v>1</v>
      </c>
    </row>
    <row r="40" spans="1:8" x14ac:dyDescent="0.45">
      <c r="A40">
        <v>1.4</v>
      </c>
      <c r="B40" t="s">
        <v>285</v>
      </c>
      <c r="C40">
        <v>1201</v>
      </c>
      <c r="D40">
        <v>12</v>
      </c>
      <c r="E40" t="s">
        <v>18</v>
      </c>
      <c r="F40" t="s">
        <v>302</v>
      </c>
      <c r="H40">
        <v>1</v>
      </c>
    </row>
    <row r="41" spans="1:8" x14ac:dyDescent="0.45">
      <c r="A41">
        <v>1.4</v>
      </c>
      <c r="B41" t="s">
        <v>285</v>
      </c>
      <c r="C41">
        <v>1201</v>
      </c>
      <c r="D41">
        <v>13</v>
      </c>
      <c r="E41" t="s">
        <v>5</v>
      </c>
      <c r="F41" t="s">
        <v>49</v>
      </c>
      <c r="H41">
        <v>1</v>
      </c>
    </row>
    <row r="42" spans="1:8" x14ac:dyDescent="0.45">
      <c r="A42">
        <v>1.4</v>
      </c>
      <c r="B42" t="s">
        <v>285</v>
      </c>
      <c r="C42">
        <v>1201</v>
      </c>
      <c r="D42">
        <v>14</v>
      </c>
      <c r="E42" t="s">
        <v>7</v>
      </c>
      <c r="F42" t="s">
        <v>9</v>
      </c>
      <c r="H42">
        <v>1</v>
      </c>
    </row>
    <row r="43" spans="1:8" x14ac:dyDescent="0.45">
      <c r="A43">
        <v>1.4</v>
      </c>
      <c r="B43" t="s">
        <v>285</v>
      </c>
      <c r="C43">
        <v>1601</v>
      </c>
      <c r="D43">
        <v>1</v>
      </c>
      <c r="E43" t="s">
        <v>18</v>
      </c>
      <c r="F43" t="s">
        <v>303</v>
      </c>
      <c r="H43">
        <v>1</v>
      </c>
    </row>
    <row r="44" spans="1:8" x14ac:dyDescent="0.45">
      <c r="A44">
        <v>1.4</v>
      </c>
      <c r="B44" t="s">
        <v>285</v>
      </c>
      <c r="C44">
        <v>1601</v>
      </c>
      <c r="D44">
        <v>2</v>
      </c>
      <c r="E44" t="s">
        <v>5</v>
      </c>
      <c r="F44" t="s">
        <v>234</v>
      </c>
      <c r="G44" t="s">
        <v>171</v>
      </c>
      <c r="H44">
        <v>1</v>
      </c>
    </row>
    <row r="45" spans="1:8" x14ac:dyDescent="0.45">
      <c r="A45">
        <v>1.4</v>
      </c>
      <c r="B45" t="s">
        <v>285</v>
      </c>
      <c r="C45">
        <v>1601</v>
      </c>
      <c r="D45">
        <v>3</v>
      </c>
      <c r="E45" t="s">
        <v>5</v>
      </c>
      <c r="F45" t="s">
        <v>305</v>
      </c>
      <c r="H45">
        <v>1</v>
      </c>
    </row>
    <row r="46" spans="1:8" x14ac:dyDescent="0.45">
      <c r="A46">
        <v>1.4</v>
      </c>
      <c r="B46" t="s">
        <v>285</v>
      </c>
      <c r="C46">
        <v>1601</v>
      </c>
      <c r="D46">
        <v>4</v>
      </c>
      <c r="E46" t="s">
        <v>18</v>
      </c>
      <c r="F46" t="s">
        <v>304</v>
      </c>
      <c r="H46">
        <v>1</v>
      </c>
    </row>
    <row r="47" spans="1:8" x14ac:dyDescent="0.45">
      <c r="A47">
        <v>1.4</v>
      </c>
      <c r="B47" t="s">
        <v>285</v>
      </c>
      <c r="C47">
        <v>1601</v>
      </c>
      <c r="D47">
        <v>5</v>
      </c>
      <c r="E47" t="s">
        <v>7</v>
      </c>
      <c r="F47" t="s">
        <v>10</v>
      </c>
      <c r="H47">
        <v>1</v>
      </c>
    </row>
    <row r="48" spans="1:8" x14ac:dyDescent="0.45">
      <c r="A48">
        <v>1.4</v>
      </c>
      <c r="B48" t="s">
        <v>285</v>
      </c>
      <c r="C48">
        <v>1601</v>
      </c>
      <c r="D48">
        <v>6</v>
      </c>
      <c r="E48" t="s">
        <v>7</v>
      </c>
      <c r="F48" t="s">
        <v>10</v>
      </c>
      <c r="H48">
        <v>1</v>
      </c>
    </row>
    <row r="49" spans="1:8" x14ac:dyDescent="0.45">
      <c r="A49">
        <v>1.4</v>
      </c>
      <c r="B49" t="s">
        <v>285</v>
      </c>
      <c r="C49">
        <v>1601</v>
      </c>
      <c r="D49">
        <v>7</v>
      </c>
      <c r="E49" t="s">
        <v>18</v>
      </c>
      <c r="F49" t="s">
        <v>304</v>
      </c>
      <c r="H49">
        <v>1</v>
      </c>
    </row>
    <row r="50" spans="1:8" x14ac:dyDescent="0.45">
      <c r="A50">
        <v>1.4</v>
      </c>
      <c r="B50" t="s">
        <v>285</v>
      </c>
      <c r="C50">
        <v>1601</v>
      </c>
      <c r="D50">
        <v>8</v>
      </c>
      <c r="E50" t="s">
        <v>5</v>
      </c>
      <c r="F50" t="s">
        <v>306</v>
      </c>
      <c r="H50">
        <v>1</v>
      </c>
    </row>
    <row r="51" spans="1:8" x14ac:dyDescent="0.45">
      <c r="A51">
        <v>1.4</v>
      </c>
      <c r="B51" t="s">
        <v>285</v>
      </c>
      <c r="C51">
        <v>1601</v>
      </c>
      <c r="D51">
        <v>9</v>
      </c>
      <c r="E51" t="s">
        <v>5</v>
      </c>
      <c r="F51" t="s">
        <v>64</v>
      </c>
      <c r="H51">
        <v>1</v>
      </c>
    </row>
    <row r="52" spans="1:8" x14ac:dyDescent="0.45">
      <c r="A52">
        <v>1.4</v>
      </c>
      <c r="B52" t="s">
        <v>285</v>
      </c>
      <c r="C52">
        <v>1601</v>
      </c>
      <c r="D52">
        <v>10</v>
      </c>
      <c r="E52" t="s">
        <v>7</v>
      </c>
      <c r="F52" t="s">
        <v>10</v>
      </c>
      <c r="H52">
        <v>1</v>
      </c>
    </row>
    <row r="53" spans="1:8" x14ac:dyDescent="0.45">
      <c r="A53">
        <v>1.4</v>
      </c>
      <c r="B53" t="s">
        <v>285</v>
      </c>
      <c r="C53">
        <v>1601</v>
      </c>
      <c r="D53">
        <v>11</v>
      </c>
      <c r="E53" t="s">
        <v>5</v>
      </c>
      <c r="F53" t="s">
        <v>307</v>
      </c>
      <c r="H53">
        <v>1</v>
      </c>
    </row>
    <row r="54" spans="1:8" x14ac:dyDescent="0.45">
      <c r="A54">
        <v>1.4</v>
      </c>
      <c r="B54" t="s">
        <v>285</v>
      </c>
      <c r="C54">
        <v>1601</v>
      </c>
      <c r="D54">
        <v>12</v>
      </c>
      <c r="E54" t="s">
        <v>5</v>
      </c>
      <c r="F54" t="s">
        <v>143</v>
      </c>
      <c r="H54">
        <v>1</v>
      </c>
    </row>
    <row r="55" spans="1:8" x14ac:dyDescent="0.45">
      <c r="A55">
        <v>1.4</v>
      </c>
      <c r="B55" t="s">
        <v>285</v>
      </c>
      <c r="C55">
        <v>1601</v>
      </c>
      <c r="D55">
        <v>13</v>
      </c>
      <c r="E55" t="s">
        <v>7</v>
      </c>
      <c r="F55" t="s">
        <v>9</v>
      </c>
      <c r="H55">
        <v>1</v>
      </c>
    </row>
    <row r="56" spans="1:8" x14ac:dyDescent="0.45">
      <c r="A56">
        <v>1.4</v>
      </c>
      <c r="B56" t="s">
        <v>285</v>
      </c>
      <c r="C56">
        <v>1601</v>
      </c>
      <c r="D56">
        <v>14</v>
      </c>
      <c r="E56" t="s">
        <v>18</v>
      </c>
      <c r="F56" t="s">
        <v>308</v>
      </c>
      <c r="H56">
        <v>1</v>
      </c>
    </row>
    <row r="57" spans="1:8" x14ac:dyDescent="0.45">
      <c r="A57">
        <v>1.4</v>
      </c>
      <c r="B57" t="s">
        <v>285</v>
      </c>
      <c r="C57">
        <v>1601</v>
      </c>
      <c r="D57">
        <v>15</v>
      </c>
      <c r="E57" t="s">
        <v>18</v>
      </c>
      <c r="F57" t="s">
        <v>309</v>
      </c>
      <c r="H57">
        <v>1</v>
      </c>
    </row>
    <row r="58" spans="1:8" x14ac:dyDescent="0.45">
      <c r="A58">
        <v>1.4</v>
      </c>
      <c r="B58" t="s">
        <v>285</v>
      </c>
      <c r="C58">
        <v>1601</v>
      </c>
      <c r="D58">
        <v>16</v>
      </c>
      <c r="E58" t="s">
        <v>18</v>
      </c>
      <c r="F58" t="s">
        <v>310</v>
      </c>
      <c r="H58">
        <v>1</v>
      </c>
    </row>
    <row r="59" spans="1:8" x14ac:dyDescent="0.45">
      <c r="A59">
        <v>1.4</v>
      </c>
      <c r="B59" t="s">
        <v>285</v>
      </c>
      <c r="C59">
        <v>1601</v>
      </c>
      <c r="D59">
        <v>17</v>
      </c>
      <c r="E59" t="s">
        <v>5</v>
      </c>
      <c r="F59" t="s">
        <v>311</v>
      </c>
      <c r="H59">
        <v>1</v>
      </c>
    </row>
    <row r="60" spans="1:8" x14ac:dyDescent="0.45">
      <c r="A60">
        <v>1.4</v>
      </c>
      <c r="B60" t="s">
        <v>589</v>
      </c>
      <c r="C60">
        <v>1601</v>
      </c>
      <c r="D60">
        <v>1</v>
      </c>
      <c r="E60" t="s">
        <v>5</v>
      </c>
      <c r="F60" t="s">
        <v>103</v>
      </c>
      <c r="H60">
        <v>1</v>
      </c>
    </row>
    <row r="61" spans="1:8" x14ac:dyDescent="0.45">
      <c r="A61">
        <v>1.4</v>
      </c>
      <c r="B61" t="s">
        <v>589</v>
      </c>
      <c r="C61">
        <v>1601</v>
      </c>
      <c r="D61">
        <v>2</v>
      </c>
      <c r="E61" t="s">
        <v>7</v>
      </c>
      <c r="F61" t="s">
        <v>9</v>
      </c>
      <c r="H61">
        <v>1</v>
      </c>
    </row>
    <row r="62" spans="1:8" x14ac:dyDescent="0.45">
      <c r="A62">
        <v>1.4</v>
      </c>
      <c r="B62" t="s">
        <v>589</v>
      </c>
      <c r="C62">
        <v>1601</v>
      </c>
      <c r="D62">
        <v>3</v>
      </c>
      <c r="E62" t="s">
        <v>18</v>
      </c>
      <c r="F62" t="s">
        <v>61</v>
      </c>
      <c r="G62" t="s">
        <v>171</v>
      </c>
      <c r="H62">
        <v>1</v>
      </c>
    </row>
    <row r="63" spans="1:8" x14ac:dyDescent="0.45">
      <c r="A63">
        <v>1.4</v>
      </c>
      <c r="B63" t="s">
        <v>589</v>
      </c>
      <c r="C63">
        <v>1601</v>
      </c>
      <c r="D63">
        <v>4</v>
      </c>
      <c r="E63" t="s">
        <v>18</v>
      </c>
      <c r="F63" t="s">
        <v>61</v>
      </c>
      <c r="G63" t="s">
        <v>171</v>
      </c>
      <c r="H63">
        <v>1</v>
      </c>
    </row>
    <row r="64" spans="1:8" x14ac:dyDescent="0.45">
      <c r="A64">
        <v>1.4</v>
      </c>
      <c r="B64" t="s">
        <v>589</v>
      </c>
      <c r="C64">
        <v>1601</v>
      </c>
      <c r="D64">
        <v>5</v>
      </c>
      <c r="E64" t="s">
        <v>5</v>
      </c>
      <c r="F64" t="s">
        <v>61</v>
      </c>
      <c r="H64">
        <v>1</v>
      </c>
    </row>
    <row r="65" spans="1:8" x14ac:dyDescent="0.45">
      <c r="A65">
        <v>1.4</v>
      </c>
      <c r="B65" t="s">
        <v>589</v>
      </c>
      <c r="C65">
        <v>1601</v>
      </c>
      <c r="D65">
        <v>6</v>
      </c>
      <c r="E65" t="s">
        <v>5</v>
      </c>
      <c r="F65" t="s">
        <v>102</v>
      </c>
      <c r="G65" t="s">
        <v>171</v>
      </c>
      <c r="H65">
        <v>1</v>
      </c>
    </row>
    <row r="66" spans="1:8" x14ac:dyDescent="0.45">
      <c r="A66">
        <v>1.4</v>
      </c>
      <c r="B66" t="s">
        <v>589</v>
      </c>
      <c r="C66">
        <v>1601</v>
      </c>
      <c r="D66">
        <v>7</v>
      </c>
      <c r="E66" t="s">
        <v>5</v>
      </c>
      <c r="F66" t="s">
        <v>65</v>
      </c>
      <c r="G66" t="s">
        <v>171</v>
      </c>
      <c r="H66">
        <v>1</v>
      </c>
    </row>
    <row r="67" spans="1:8" x14ac:dyDescent="0.45">
      <c r="A67">
        <v>1.4</v>
      </c>
      <c r="B67" t="s">
        <v>589</v>
      </c>
      <c r="C67">
        <v>1601</v>
      </c>
      <c r="D67">
        <v>8</v>
      </c>
      <c r="E67" t="s">
        <v>5</v>
      </c>
      <c r="F67" t="s">
        <v>590</v>
      </c>
      <c r="H67">
        <v>1</v>
      </c>
    </row>
    <row r="68" spans="1:8" x14ac:dyDescent="0.45">
      <c r="A68">
        <v>1.4</v>
      </c>
      <c r="B68" t="s">
        <v>589</v>
      </c>
      <c r="C68">
        <v>1601</v>
      </c>
      <c r="D68">
        <v>9</v>
      </c>
      <c r="E68" t="s">
        <v>5</v>
      </c>
      <c r="F68" t="s">
        <v>430</v>
      </c>
      <c r="H68">
        <v>1</v>
      </c>
    </row>
    <row r="69" spans="1:8" x14ac:dyDescent="0.45">
      <c r="A69">
        <v>1.4</v>
      </c>
      <c r="B69" t="s">
        <v>589</v>
      </c>
      <c r="C69">
        <v>1601</v>
      </c>
      <c r="D69">
        <v>10</v>
      </c>
      <c r="E69" t="s">
        <v>5</v>
      </c>
      <c r="F69" t="s">
        <v>591</v>
      </c>
      <c r="H69">
        <v>1</v>
      </c>
    </row>
    <row r="70" spans="1:8" x14ac:dyDescent="0.45">
      <c r="A70">
        <v>1.4</v>
      </c>
      <c r="B70" t="s">
        <v>589</v>
      </c>
      <c r="C70">
        <v>1601</v>
      </c>
      <c r="D70">
        <v>11</v>
      </c>
      <c r="E70" t="s">
        <v>18</v>
      </c>
      <c r="F70" t="s">
        <v>65</v>
      </c>
      <c r="G70" t="s">
        <v>171</v>
      </c>
      <c r="H70">
        <v>1</v>
      </c>
    </row>
    <row r="71" spans="1:8" x14ac:dyDescent="0.45">
      <c r="A71">
        <v>1.4</v>
      </c>
      <c r="B71" t="s">
        <v>589</v>
      </c>
      <c r="C71">
        <v>1601</v>
      </c>
      <c r="D71">
        <v>12</v>
      </c>
      <c r="E71" t="s">
        <v>5</v>
      </c>
      <c r="F71" t="s">
        <v>426</v>
      </c>
      <c r="H71">
        <v>1</v>
      </c>
    </row>
    <row r="72" spans="1:8" x14ac:dyDescent="0.45">
      <c r="A72">
        <v>1.4</v>
      </c>
      <c r="B72" t="s">
        <v>589</v>
      </c>
      <c r="C72">
        <v>1601</v>
      </c>
      <c r="D72">
        <v>13</v>
      </c>
      <c r="E72" t="s">
        <v>5</v>
      </c>
      <c r="F72" t="s">
        <v>592</v>
      </c>
      <c r="G72" t="s">
        <v>171</v>
      </c>
      <c r="H72">
        <v>1</v>
      </c>
    </row>
    <row r="73" spans="1:8" x14ac:dyDescent="0.45">
      <c r="A73">
        <v>1.4</v>
      </c>
      <c r="B73" t="s">
        <v>589</v>
      </c>
      <c r="C73">
        <v>1601</v>
      </c>
      <c r="D73">
        <v>14</v>
      </c>
      <c r="E73" t="s">
        <v>5</v>
      </c>
      <c r="F73" t="s">
        <v>424</v>
      </c>
      <c r="H73">
        <v>1</v>
      </c>
    </row>
    <row r="74" spans="1:8" x14ac:dyDescent="0.45">
      <c r="A74">
        <v>1.4</v>
      </c>
      <c r="B74" t="s">
        <v>589</v>
      </c>
      <c r="C74">
        <v>1601</v>
      </c>
      <c r="D74">
        <v>15</v>
      </c>
      <c r="E74" t="s">
        <v>7</v>
      </c>
      <c r="F74" t="s">
        <v>9</v>
      </c>
      <c r="H74">
        <v>1</v>
      </c>
    </row>
    <row r="75" spans="1:8" x14ac:dyDescent="0.45">
      <c r="A75">
        <v>1.4</v>
      </c>
      <c r="B75" t="s">
        <v>589</v>
      </c>
      <c r="C75">
        <v>1201</v>
      </c>
      <c r="D75">
        <v>1</v>
      </c>
      <c r="E75" t="s">
        <v>5</v>
      </c>
      <c r="F75" t="s">
        <v>594</v>
      </c>
      <c r="H75">
        <v>1</v>
      </c>
    </row>
    <row r="76" spans="1:8" x14ac:dyDescent="0.45">
      <c r="A76">
        <v>1.4</v>
      </c>
      <c r="B76" t="s">
        <v>589</v>
      </c>
      <c r="C76">
        <v>1201</v>
      </c>
      <c r="D76">
        <v>2</v>
      </c>
      <c r="E76" t="s">
        <v>5</v>
      </c>
      <c r="F76" t="s">
        <v>330</v>
      </c>
      <c r="H76">
        <v>1</v>
      </c>
    </row>
    <row r="77" spans="1:8" x14ac:dyDescent="0.45">
      <c r="A77">
        <v>1.4</v>
      </c>
      <c r="B77" t="s">
        <v>589</v>
      </c>
      <c r="C77">
        <v>1201</v>
      </c>
      <c r="D77">
        <v>3</v>
      </c>
      <c r="E77" t="s">
        <v>7</v>
      </c>
      <c r="F77" t="s">
        <v>9</v>
      </c>
      <c r="H77">
        <v>1</v>
      </c>
    </row>
    <row r="78" spans="1:8" x14ac:dyDescent="0.45">
      <c r="A78">
        <v>1.4</v>
      </c>
      <c r="B78" t="s">
        <v>589</v>
      </c>
      <c r="C78">
        <v>1201</v>
      </c>
      <c r="D78">
        <v>4</v>
      </c>
      <c r="E78" t="s">
        <v>18</v>
      </c>
      <c r="F78" t="s">
        <v>330</v>
      </c>
      <c r="G78" t="s">
        <v>171</v>
      </c>
      <c r="H78">
        <v>1</v>
      </c>
    </row>
    <row r="79" spans="1:8" x14ac:dyDescent="0.45">
      <c r="A79">
        <v>1.4</v>
      </c>
      <c r="B79" t="s">
        <v>589</v>
      </c>
      <c r="C79">
        <v>1201</v>
      </c>
      <c r="D79">
        <v>5</v>
      </c>
      <c r="E79" t="s">
        <v>5</v>
      </c>
      <c r="F79" t="s">
        <v>330</v>
      </c>
      <c r="G79" t="s">
        <v>171</v>
      </c>
      <c r="H79">
        <v>1</v>
      </c>
    </row>
    <row r="80" spans="1:8" x14ac:dyDescent="0.45">
      <c r="A80">
        <v>1.4</v>
      </c>
      <c r="B80" t="s">
        <v>589</v>
      </c>
      <c r="C80">
        <v>1201</v>
      </c>
      <c r="D80">
        <v>6</v>
      </c>
      <c r="E80" t="s">
        <v>5</v>
      </c>
      <c r="F80" t="s">
        <v>187</v>
      </c>
      <c r="H80">
        <v>1</v>
      </c>
    </row>
    <row r="81" spans="1:8" x14ac:dyDescent="0.45">
      <c r="A81">
        <v>1.4</v>
      </c>
      <c r="B81" t="s">
        <v>589</v>
      </c>
      <c r="C81">
        <v>1201</v>
      </c>
      <c r="D81">
        <v>7</v>
      </c>
      <c r="E81" t="s">
        <v>5</v>
      </c>
      <c r="F81" t="s">
        <v>92</v>
      </c>
      <c r="H81">
        <v>1</v>
      </c>
    </row>
    <row r="82" spans="1:8" x14ac:dyDescent="0.45">
      <c r="A82">
        <v>1.4</v>
      </c>
      <c r="B82" t="s">
        <v>589</v>
      </c>
      <c r="C82">
        <v>1201</v>
      </c>
      <c r="D82">
        <v>8</v>
      </c>
      <c r="E82" t="s">
        <v>5</v>
      </c>
      <c r="F82" t="s">
        <v>593</v>
      </c>
      <c r="H82">
        <v>1</v>
      </c>
    </row>
    <row r="83" spans="1:8" x14ac:dyDescent="0.45">
      <c r="A83">
        <v>1.4</v>
      </c>
      <c r="B83" t="s">
        <v>589</v>
      </c>
      <c r="C83">
        <v>801</v>
      </c>
      <c r="D83">
        <v>1</v>
      </c>
      <c r="E83" t="s">
        <v>7</v>
      </c>
      <c r="F83" t="s">
        <v>11</v>
      </c>
      <c r="H83">
        <v>1</v>
      </c>
    </row>
    <row r="84" spans="1:8" x14ac:dyDescent="0.45">
      <c r="A84">
        <v>1.4</v>
      </c>
      <c r="B84" t="s">
        <v>589</v>
      </c>
      <c r="C84">
        <v>801</v>
      </c>
      <c r="D84">
        <v>2</v>
      </c>
      <c r="E84" t="s">
        <v>7</v>
      </c>
      <c r="F84" t="s">
        <v>9</v>
      </c>
      <c r="H84">
        <v>1</v>
      </c>
    </row>
    <row r="85" spans="1:8" x14ac:dyDescent="0.45">
      <c r="A85">
        <v>1.4</v>
      </c>
      <c r="B85" t="s">
        <v>589</v>
      </c>
      <c r="C85">
        <v>801</v>
      </c>
      <c r="D85">
        <v>3</v>
      </c>
      <c r="E85" t="s">
        <v>5</v>
      </c>
      <c r="F85" t="s">
        <v>400</v>
      </c>
      <c r="H85">
        <v>1</v>
      </c>
    </row>
    <row r="86" spans="1:8" x14ac:dyDescent="0.45">
      <c r="A86">
        <v>1.4</v>
      </c>
      <c r="B86" t="s">
        <v>589</v>
      </c>
      <c r="C86">
        <v>801</v>
      </c>
      <c r="D86">
        <v>4</v>
      </c>
      <c r="E86" t="s">
        <v>5</v>
      </c>
      <c r="F86" t="s">
        <v>251</v>
      </c>
      <c r="H86">
        <v>1</v>
      </c>
    </row>
    <row r="87" spans="1:8" x14ac:dyDescent="0.45">
      <c r="A87">
        <v>1.4</v>
      </c>
      <c r="B87" t="s">
        <v>589</v>
      </c>
      <c r="C87">
        <v>801</v>
      </c>
      <c r="D87">
        <v>5</v>
      </c>
      <c r="E87" t="s">
        <v>5</v>
      </c>
      <c r="F87" t="s">
        <v>358</v>
      </c>
      <c r="G87" t="s">
        <v>171</v>
      </c>
      <c r="H87">
        <v>1</v>
      </c>
    </row>
    <row r="88" spans="1:8" x14ac:dyDescent="0.45">
      <c r="A88">
        <v>1.4</v>
      </c>
      <c r="B88" t="s">
        <v>589</v>
      </c>
      <c r="C88">
        <v>801</v>
      </c>
      <c r="D88">
        <v>6</v>
      </c>
      <c r="E88" t="s">
        <v>18</v>
      </c>
      <c r="F88" t="s">
        <v>88</v>
      </c>
      <c r="G88" t="s">
        <v>171</v>
      </c>
      <c r="H88">
        <v>1</v>
      </c>
    </row>
    <row r="89" spans="1:8" x14ac:dyDescent="0.45">
      <c r="A89">
        <v>1.4</v>
      </c>
      <c r="B89" t="s">
        <v>589</v>
      </c>
      <c r="C89">
        <v>801</v>
      </c>
      <c r="D89">
        <v>7</v>
      </c>
      <c r="E89" t="s">
        <v>5</v>
      </c>
      <c r="F89" t="s">
        <v>218</v>
      </c>
      <c r="H89">
        <v>1</v>
      </c>
    </row>
    <row r="90" spans="1:8" x14ac:dyDescent="0.45">
      <c r="A90">
        <v>1.4</v>
      </c>
      <c r="B90" t="s">
        <v>589</v>
      </c>
      <c r="C90">
        <v>801</v>
      </c>
      <c r="D90">
        <v>8</v>
      </c>
      <c r="E90" t="s">
        <v>5</v>
      </c>
      <c r="F90" t="s">
        <v>251</v>
      </c>
      <c r="G90" t="s">
        <v>171</v>
      </c>
      <c r="H90">
        <v>1</v>
      </c>
    </row>
    <row r="91" spans="1:8" x14ac:dyDescent="0.45">
      <c r="A91">
        <v>1.4</v>
      </c>
      <c r="B91" t="s">
        <v>589</v>
      </c>
      <c r="C91">
        <v>801</v>
      </c>
      <c r="D91">
        <v>9</v>
      </c>
      <c r="E91" t="s">
        <v>5</v>
      </c>
      <c r="F91" t="s">
        <v>595</v>
      </c>
      <c r="H91">
        <v>1</v>
      </c>
    </row>
    <row r="92" spans="1:8" x14ac:dyDescent="0.45">
      <c r="A92">
        <v>1.4</v>
      </c>
      <c r="B92" t="s">
        <v>589</v>
      </c>
      <c r="C92">
        <v>801</v>
      </c>
      <c r="D92">
        <v>10</v>
      </c>
      <c r="E92" t="s">
        <v>5</v>
      </c>
      <c r="F92" t="s">
        <v>129</v>
      </c>
      <c r="H92">
        <v>1</v>
      </c>
    </row>
    <row r="93" spans="1:8" x14ac:dyDescent="0.45">
      <c r="A93">
        <v>1.4</v>
      </c>
      <c r="B93" t="s">
        <v>589</v>
      </c>
      <c r="C93">
        <v>801</v>
      </c>
      <c r="D93">
        <v>11</v>
      </c>
      <c r="E93" t="s">
        <v>5</v>
      </c>
      <c r="F93" t="s">
        <v>358</v>
      </c>
      <c r="H93">
        <v>1</v>
      </c>
    </row>
    <row r="94" spans="1:8" x14ac:dyDescent="0.45">
      <c r="A94">
        <v>1.4</v>
      </c>
      <c r="B94" t="s">
        <v>589</v>
      </c>
      <c r="C94">
        <v>801</v>
      </c>
      <c r="D94">
        <v>12</v>
      </c>
      <c r="E94" t="s">
        <v>7</v>
      </c>
      <c r="F94" t="s">
        <v>9</v>
      </c>
      <c r="H94">
        <v>1</v>
      </c>
    </row>
    <row r="95" spans="1:8" x14ac:dyDescent="0.45">
      <c r="A95">
        <v>1.4</v>
      </c>
      <c r="B95" t="s">
        <v>589</v>
      </c>
      <c r="C95">
        <v>801</v>
      </c>
      <c r="D95">
        <v>13</v>
      </c>
      <c r="E95" t="s">
        <v>5</v>
      </c>
      <c r="F95" t="s">
        <v>46</v>
      </c>
      <c r="H95">
        <v>1</v>
      </c>
    </row>
    <row r="96" spans="1:8" x14ac:dyDescent="0.45">
      <c r="A96">
        <v>1.4</v>
      </c>
      <c r="B96" t="s">
        <v>589</v>
      </c>
      <c r="C96">
        <v>801</v>
      </c>
      <c r="D96">
        <v>14</v>
      </c>
      <c r="E96" t="s">
        <v>5</v>
      </c>
      <c r="F96" t="s">
        <v>596</v>
      </c>
      <c r="H96">
        <v>1</v>
      </c>
    </row>
    <row r="97" spans="1:8" x14ac:dyDescent="0.45">
      <c r="A97">
        <v>1.4</v>
      </c>
      <c r="B97" t="s">
        <v>589</v>
      </c>
      <c r="C97">
        <v>801</v>
      </c>
      <c r="D97">
        <v>15</v>
      </c>
      <c r="E97" t="s">
        <v>5</v>
      </c>
      <c r="F97" t="s">
        <v>597</v>
      </c>
      <c r="H97">
        <v>1</v>
      </c>
    </row>
    <row r="98" spans="1:8" x14ac:dyDescent="0.45">
      <c r="A98">
        <v>1.4</v>
      </c>
      <c r="B98" t="s">
        <v>589</v>
      </c>
      <c r="C98">
        <v>801</v>
      </c>
      <c r="D98">
        <v>16</v>
      </c>
      <c r="E98" t="s">
        <v>7</v>
      </c>
      <c r="F98" t="s">
        <v>10</v>
      </c>
      <c r="H98">
        <v>1</v>
      </c>
    </row>
    <row r="99" spans="1:8" x14ac:dyDescent="0.45">
      <c r="A99">
        <v>1.4</v>
      </c>
      <c r="B99" t="s">
        <v>589</v>
      </c>
      <c r="C99">
        <v>801</v>
      </c>
      <c r="D99">
        <v>17</v>
      </c>
      <c r="E99" t="s">
        <v>7</v>
      </c>
      <c r="F99" t="s">
        <v>10</v>
      </c>
      <c r="H99">
        <v>1</v>
      </c>
    </row>
    <row r="100" spans="1:8" x14ac:dyDescent="0.45">
      <c r="A100">
        <v>1.4</v>
      </c>
      <c r="B100" t="s">
        <v>589</v>
      </c>
      <c r="C100">
        <v>801</v>
      </c>
      <c r="D100">
        <v>18</v>
      </c>
      <c r="E100" t="s">
        <v>18</v>
      </c>
      <c r="F100" t="s">
        <v>88</v>
      </c>
      <c r="H100">
        <v>1</v>
      </c>
    </row>
    <row r="101" spans="1:8" x14ac:dyDescent="0.45">
      <c r="A101">
        <v>1.4</v>
      </c>
      <c r="B101" t="s">
        <v>589</v>
      </c>
      <c r="C101">
        <v>801</v>
      </c>
      <c r="D101">
        <v>19</v>
      </c>
      <c r="E101" t="s">
        <v>7</v>
      </c>
      <c r="F101" t="s">
        <v>9</v>
      </c>
      <c r="H101">
        <v>1</v>
      </c>
    </row>
    <row r="102" spans="1:8" x14ac:dyDescent="0.45">
      <c r="A102">
        <v>1.4</v>
      </c>
      <c r="B102" t="s">
        <v>589</v>
      </c>
      <c r="C102">
        <v>801</v>
      </c>
      <c r="D102">
        <v>20</v>
      </c>
      <c r="E102" t="s">
        <v>5</v>
      </c>
      <c r="F102" t="s">
        <v>251</v>
      </c>
      <c r="G102" t="s">
        <v>171</v>
      </c>
      <c r="H102">
        <v>1</v>
      </c>
    </row>
    <row r="103" spans="1:8" x14ac:dyDescent="0.45">
      <c r="A103">
        <v>1.4</v>
      </c>
      <c r="B103" t="s">
        <v>589</v>
      </c>
      <c r="C103">
        <v>801</v>
      </c>
      <c r="D103">
        <v>21</v>
      </c>
      <c r="E103" t="s">
        <v>5</v>
      </c>
      <c r="F103" t="s">
        <v>557</v>
      </c>
      <c r="H103">
        <v>1</v>
      </c>
    </row>
    <row r="104" spans="1:8" x14ac:dyDescent="0.45">
      <c r="A104">
        <v>1.4</v>
      </c>
      <c r="B104" t="s">
        <v>589</v>
      </c>
      <c r="C104">
        <v>801</v>
      </c>
      <c r="D104">
        <v>22</v>
      </c>
      <c r="E104" t="s">
        <v>5</v>
      </c>
      <c r="F104" t="s">
        <v>598</v>
      </c>
      <c r="G104" t="s">
        <v>171</v>
      </c>
      <c r="H104">
        <v>1</v>
      </c>
    </row>
    <row r="105" spans="1:8" x14ac:dyDescent="0.45">
      <c r="A105">
        <v>1.4</v>
      </c>
      <c r="B105" t="s">
        <v>589</v>
      </c>
      <c r="C105">
        <v>801</v>
      </c>
      <c r="D105">
        <v>23</v>
      </c>
      <c r="E105" t="s">
        <v>5</v>
      </c>
      <c r="F105" t="s">
        <v>251</v>
      </c>
      <c r="G105" t="s">
        <v>171</v>
      </c>
      <c r="H105">
        <v>1</v>
      </c>
    </row>
    <row r="106" spans="1:8" x14ac:dyDescent="0.45">
      <c r="A106">
        <v>1.4</v>
      </c>
      <c r="B106" t="s">
        <v>589</v>
      </c>
      <c r="C106">
        <v>801</v>
      </c>
      <c r="D106">
        <v>24</v>
      </c>
      <c r="E106" t="s">
        <v>5</v>
      </c>
      <c r="F106" t="s">
        <v>218</v>
      </c>
      <c r="H106">
        <v>1</v>
      </c>
    </row>
    <row r="107" spans="1:8" x14ac:dyDescent="0.45">
      <c r="A107">
        <v>1.4</v>
      </c>
      <c r="B107" t="s">
        <v>589</v>
      </c>
      <c r="C107">
        <v>801</v>
      </c>
      <c r="D107">
        <v>25</v>
      </c>
      <c r="E107" t="s">
        <v>18</v>
      </c>
      <c r="F107" t="s">
        <v>162</v>
      </c>
      <c r="H107">
        <v>1</v>
      </c>
    </row>
    <row r="108" spans="1:8" x14ac:dyDescent="0.45">
      <c r="A108">
        <v>1.4</v>
      </c>
      <c r="B108" t="s">
        <v>589</v>
      </c>
      <c r="C108">
        <v>801</v>
      </c>
      <c r="D108">
        <v>26</v>
      </c>
      <c r="E108" t="s">
        <v>5</v>
      </c>
      <c r="F108" t="s">
        <v>359</v>
      </c>
      <c r="H108">
        <v>1</v>
      </c>
    </row>
    <row r="109" spans="1:8" x14ac:dyDescent="0.45">
      <c r="A109">
        <v>1.4</v>
      </c>
      <c r="B109" t="s">
        <v>589</v>
      </c>
      <c r="C109">
        <v>801</v>
      </c>
      <c r="D109">
        <v>27</v>
      </c>
      <c r="E109" t="s">
        <v>5</v>
      </c>
      <c r="F109" t="s">
        <v>44</v>
      </c>
      <c r="H109">
        <v>1</v>
      </c>
    </row>
    <row r="110" spans="1:8" x14ac:dyDescent="0.45">
      <c r="A110">
        <v>1.4</v>
      </c>
      <c r="B110" t="s">
        <v>589</v>
      </c>
      <c r="C110">
        <v>801</v>
      </c>
      <c r="D110">
        <v>28</v>
      </c>
      <c r="E110" t="s">
        <v>5</v>
      </c>
      <c r="F110" t="s">
        <v>90</v>
      </c>
      <c r="G110" t="s">
        <v>171</v>
      </c>
      <c r="H110">
        <v>1</v>
      </c>
    </row>
    <row r="111" spans="1:8" x14ac:dyDescent="0.45">
      <c r="A111">
        <v>1.4</v>
      </c>
      <c r="B111" t="s">
        <v>589</v>
      </c>
      <c r="C111">
        <v>401</v>
      </c>
      <c r="D111">
        <v>1</v>
      </c>
      <c r="E111" t="s">
        <v>5</v>
      </c>
      <c r="F111" t="s">
        <v>599</v>
      </c>
      <c r="H111">
        <v>1</v>
      </c>
    </row>
    <row r="112" spans="1:8" x14ac:dyDescent="0.45">
      <c r="A112">
        <v>1.4</v>
      </c>
      <c r="B112" t="s">
        <v>589</v>
      </c>
      <c r="C112">
        <v>401</v>
      </c>
      <c r="D112">
        <v>2</v>
      </c>
      <c r="E112" t="s">
        <v>5</v>
      </c>
      <c r="F112" t="s">
        <v>509</v>
      </c>
      <c r="H112">
        <v>1</v>
      </c>
    </row>
    <row r="113" spans="1:8" x14ac:dyDescent="0.45">
      <c r="A113">
        <v>1.4</v>
      </c>
      <c r="B113" t="s">
        <v>589</v>
      </c>
      <c r="C113">
        <v>401</v>
      </c>
      <c r="D113">
        <v>3</v>
      </c>
      <c r="E113" t="s">
        <v>7</v>
      </c>
      <c r="F113" t="s">
        <v>9</v>
      </c>
      <c r="H113">
        <v>1</v>
      </c>
    </row>
    <row r="114" spans="1:8" x14ac:dyDescent="0.45">
      <c r="A114">
        <v>1.4</v>
      </c>
      <c r="B114" t="s">
        <v>589</v>
      </c>
      <c r="C114">
        <v>401</v>
      </c>
      <c r="D114">
        <v>4</v>
      </c>
      <c r="E114" t="s">
        <v>5</v>
      </c>
      <c r="F114" t="s">
        <v>242</v>
      </c>
      <c r="H114">
        <v>1</v>
      </c>
    </row>
    <row r="115" spans="1:8" x14ac:dyDescent="0.45">
      <c r="A115">
        <v>1.4</v>
      </c>
      <c r="B115" t="s">
        <v>589</v>
      </c>
      <c r="C115">
        <v>401</v>
      </c>
      <c r="D115">
        <v>5</v>
      </c>
      <c r="E115" t="s">
        <v>5</v>
      </c>
      <c r="F115" t="s">
        <v>35</v>
      </c>
      <c r="G115" t="s">
        <v>171</v>
      </c>
      <c r="H115">
        <v>1</v>
      </c>
    </row>
    <row r="116" spans="1:8" x14ac:dyDescent="0.45">
      <c r="A116">
        <v>1.4</v>
      </c>
      <c r="B116" t="s">
        <v>589</v>
      </c>
      <c r="C116">
        <v>401</v>
      </c>
      <c r="D116">
        <v>6</v>
      </c>
      <c r="E116" t="s">
        <v>18</v>
      </c>
      <c r="F116" t="s">
        <v>600</v>
      </c>
      <c r="H116">
        <v>1</v>
      </c>
    </row>
    <row r="117" spans="1:8" x14ac:dyDescent="0.45">
      <c r="A117">
        <v>1.4</v>
      </c>
      <c r="B117" t="s">
        <v>589</v>
      </c>
      <c r="C117">
        <v>401</v>
      </c>
      <c r="D117">
        <v>7</v>
      </c>
      <c r="E117" t="s">
        <v>7</v>
      </c>
      <c r="F117" t="s">
        <v>9</v>
      </c>
      <c r="H117">
        <v>1</v>
      </c>
    </row>
    <row r="118" spans="1:8" x14ac:dyDescent="0.45">
      <c r="A118">
        <v>1.4</v>
      </c>
      <c r="B118" t="s">
        <v>589</v>
      </c>
      <c r="C118">
        <v>401</v>
      </c>
      <c r="D118">
        <v>8</v>
      </c>
      <c r="E118" t="s">
        <v>18</v>
      </c>
      <c r="F118" t="s">
        <v>246</v>
      </c>
      <c r="H118">
        <v>1</v>
      </c>
    </row>
    <row r="119" spans="1:8" x14ac:dyDescent="0.45">
      <c r="A119">
        <v>1.4</v>
      </c>
      <c r="B119" t="s">
        <v>589</v>
      </c>
      <c r="C119">
        <v>401</v>
      </c>
      <c r="D119">
        <v>9</v>
      </c>
      <c r="E119" t="s">
        <v>5</v>
      </c>
      <c r="F119" t="s">
        <v>511</v>
      </c>
      <c r="H119">
        <v>1</v>
      </c>
    </row>
    <row r="120" spans="1:8" x14ac:dyDescent="0.45">
      <c r="A120">
        <v>1.4</v>
      </c>
      <c r="B120" t="s">
        <v>589</v>
      </c>
      <c r="C120">
        <v>401</v>
      </c>
      <c r="D120">
        <v>10</v>
      </c>
      <c r="E120" t="s">
        <v>5</v>
      </c>
      <c r="F120" t="s">
        <v>160</v>
      </c>
      <c r="H120">
        <v>1</v>
      </c>
    </row>
    <row r="121" spans="1:8" x14ac:dyDescent="0.45">
      <c r="A121">
        <v>1.4</v>
      </c>
      <c r="B121" t="s">
        <v>589</v>
      </c>
      <c r="C121">
        <v>401</v>
      </c>
      <c r="D121">
        <v>11</v>
      </c>
      <c r="E121" t="s">
        <v>5</v>
      </c>
      <c r="F121" t="s">
        <v>509</v>
      </c>
      <c r="H121">
        <v>1</v>
      </c>
    </row>
    <row r="122" spans="1:8" x14ac:dyDescent="0.45">
      <c r="A122">
        <v>1.4</v>
      </c>
      <c r="B122" t="s">
        <v>589</v>
      </c>
      <c r="C122">
        <v>401</v>
      </c>
      <c r="D122">
        <v>12</v>
      </c>
      <c r="E122" t="s">
        <v>5</v>
      </c>
      <c r="F122" t="s">
        <v>396</v>
      </c>
      <c r="H122">
        <v>1</v>
      </c>
    </row>
    <row r="123" spans="1:8" x14ac:dyDescent="0.45">
      <c r="A123">
        <v>1.4</v>
      </c>
      <c r="B123" t="s">
        <v>589</v>
      </c>
      <c r="C123">
        <v>401</v>
      </c>
      <c r="D123">
        <v>13</v>
      </c>
      <c r="E123" t="s">
        <v>7</v>
      </c>
      <c r="F123" t="s">
        <v>9</v>
      </c>
      <c r="H123">
        <v>1</v>
      </c>
    </row>
    <row r="124" spans="1:8" x14ac:dyDescent="0.45">
      <c r="A124">
        <v>1.4</v>
      </c>
      <c r="B124" t="s">
        <v>589</v>
      </c>
      <c r="C124">
        <v>401</v>
      </c>
      <c r="D124">
        <v>14</v>
      </c>
      <c r="E124" t="s">
        <v>7</v>
      </c>
      <c r="F124" t="s">
        <v>9</v>
      </c>
      <c r="H124">
        <v>1</v>
      </c>
    </row>
    <row r="125" spans="1:8" x14ac:dyDescent="0.45">
      <c r="A125">
        <v>1.4</v>
      </c>
      <c r="B125" t="s">
        <v>589</v>
      </c>
      <c r="C125">
        <v>401</v>
      </c>
      <c r="D125">
        <v>15</v>
      </c>
      <c r="E125" t="s">
        <v>5</v>
      </c>
      <c r="F125" t="s">
        <v>246</v>
      </c>
      <c r="H125">
        <v>1</v>
      </c>
    </row>
    <row r="126" spans="1:8" x14ac:dyDescent="0.45">
      <c r="A126">
        <v>1.4</v>
      </c>
      <c r="B126" t="s">
        <v>589</v>
      </c>
      <c r="C126">
        <v>401</v>
      </c>
      <c r="D126">
        <v>16</v>
      </c>
      <c r="E126" t="s">
        <v>5</v>
      </c>
      <c r="F126" t="s">
        <v>246</v>
      </c>
      <c r="H126">
        <v>1</v>
      </c>
    </row>
    <row r="127" spans="1:8" x14ac:dyDescent="0.45">
      <c r="A127">
        <v>1.4</v>
      </c>
      <c r="B127" t="s">
        <v>589</v>
      </c>
      <c r="C127">
        <v>401</v>
      </c>
      <c r="D127">
        <v>17</v>
      </c>
      <c r="E127" t="s">
        <v>5</v>
      </c>
      <c r="F127" t="s">
        <v>119</v>
      </c>
      <c r="G127" t="s">
        <v>171</v>
      </c>
      <c r="H127">
        <v>1</v>
      </c>
    </row>
    <row r="128" spans="1:8" x14ac:dyDescent="0.45">
      <c r="A128">
        <v>1.4</v>
      </c>
      <c r="B128" t="s">
        <v>589</v>
      </c>
      <c r="C128">
        <v>401</v>
      </c>
      <c r="D128">
        <v>18</v>
      </c>
      <c r="E128" t="s">
        <v>7</v>
      </c>
      <c r="F128" t="s">
        <v>10</v>
      </c>
      <c r="H128">
        <v>1</v>
      </c>
    </row>
    <row r="129" spans="1:8" x14ac:dyDescent="0.45">
      <c r="A129">
        <v>1.4</v>
      </c>
      <c r="B129" t="s">
        <v>589</v>
      </c>
      <c r="C129">
        <v>1</v>
      </c>
      <c r="D129">
        <v>1</v>
      </c>
      <c r="E129" t="s">
        <v>7</v>
      </c>
      <c r="F129" t="s">
        <v>11</v>
      </c>
      <c r="H129">
        <v>1</v>
      </c>
    </row>
    <row r="130" spans="1:8" x14ac:dyDescent="0.45">
      <c r="A130">
        <v>1.4</v>
      </c>
      <c r="B130" t="s">
        <v>589</v>
      </c>
      <c r="C130">
        <v>1</v>
      </c>
      <c r="D130">
        <v>2</v>
      </c>
      <c r="E130" t="s">
        <v>5</v>
      </c>
      <c r="F130" t="s">
        <v>239</v>
      </c>
      <c r="H130">
        <v>1</v>
      </c>
    </row>
    <row r="131" spans="1:8" x14ac:dyDescent="0.45">
      <c r="A131">
        <v>1.4</v>
      </c>
      <c r="B131" t="s">
        <v>589</v>
      </c>
      <c r="C131">
        <v>1</v>
      </c>
      <c r="D131">
        <v>3</v>
      </c>
      <c r="E131" t="s">
        <v>5</v>
      </c>
      <c r="F131" t="s">
        <v>601</v>
      </c>
      <c r="H131">
        <v>1</v>
      </c>
    </row>
    <row r="132" spans="1:8" x14ac:dyDescent="0.45">
      <c r="A132">
        <v>1.4</v>
      </c>
      <c r="B132" t="s">
        <v>589</v>
      </c>
      <c r="C132">
        <v>1</v>
      </c>
      <c r="D132">
        <v>4</v>
      </c>
      <c r="E132" t="s">
        <v>7</v>
      </c>
      <c r="F132" t="s">
        <v>9</v>
      </c>
      <c r="H132">
        <v>1</v>
      </c>
    </row>
    <row r="133" spans="1:8" x14ac:dyDescent="0.45">
      <c r="A133">
        <v>1.4</v>
      </c>
      <c r="B133" t="s">
        <v>589</v>
      </c>
      <c r="C133">
        <v>1</v>
      </c>
      <c r="D133">
        <v>5</v>
      </c>
      <c r="E133" t="s">
        <v>5</v>
      </c>
      <c r="F133" t="s">
        <v>240</v>
      </c>
      <c r="H133">
        <v>1</v>
      </c>
    </row>
    <row r="134" spans="1:8" x14ac:dyDescent="0.45">
      <c r="A134">
        <v>1.4</v>
      </c>
      <c r="B134" t="s">
        <v>589</v>
      </c>
      <c r="C134">
        <v>1</v>
      </c>
      <c r="D134">
        <v>6</v>
      </c>
      <c r="E134" t="s">
        <v>5</v>
      </c>
      <c r="F134" t="s">
        <v>314</v>
      </c>
      <c r="H134">
        <v>1</v>
      </c>
    </row>
    <row r="135" spans="1:8" x14ac:dyDescent="0.45">
      <c r="A135">
        <v>1.4</v>
      </c>
      <c r="B135" t="s">
        <v>589</v>
      </c>
      <c r="C135">
        <v>1</v>
      </c>
      <c r="D135">
        <v>7</v>
      </c>
      <c r="E135" t="s">
        <v>18</v>
      </c>
      <c r="F135" t="s">
        <v>206</v>
      </c>
      <c r="H135">
        <v>1</v>
      </c>
    </row>
    <row r="136" spans="1:8" x14ac:dyDescent="0.45">
      <c r="A136">
        <v>1.4</v>
      </c>
      <c r="B136" t="s">
        <v>589</v>
      </c>
      <c r="C136">
        <v>1</v>
      </c>
      <c r="D136">
        <v>8</v>
      </c>
      <c r="E136" t="s">
        <v>5</v>
      </c>
      <c r="F136" t="s">
        <v>316</v>
      </c>
      <c r="H136">
        <v>1</v>
      </c>
    </row>
    <row r="137" spans="1:8" x14ac:dyDescent="0.45">
      <c r="A137">
        <v>1.4</v>
      </c>
      <c r="B137" t="s">
        <v>589</v>
      </c>
      <c r="C137">
        <v>1</v>
      </c>
      <c r="D137">
        <v>9</v>
      </c>
      <c r="E137" t="s">
        <v>7</v>
      </c>
      <c r="F137" t="s">
        <v>11</v>
      </c>
      <c r="H137">
        <v>1</v>
      </c>
    </row>
    <row r="138" spans="1:8" x14ac:dyDescent="0.45">
      <c r="A138">
        <v>1.4</v>
      </c>
      <c r="B138" t="s">
        <v>589</v>
      </c>
      <c r="C138">
        <v>1</v>
      </c>
      <c r="D138">
        <v>10</v>
      </c>
      <c r="E138" t="s">
        <v>7</v>
      </c>
      <c r="F138" t="s">
        <v>9</v>
      </c>
      <c r="H138">
        <v>1</v>
      </c>
    </row>
    <row r="139" spans="1:8" x14ac:dyDescent="0.45">
      <c r="A139">
        <v>1.4</v>
      </c>
      <c r="B139" t="s">
        <v>589</v>
      </c>
      <c r="C139">
        <v>1</v>
      </c>
      <c r="D139">
        <v>11</v>
      </c>
      <c r="E139" t="s">
        <v>5</v>
      </c>
      <c r="F139" t="s">
        <v>602</v>
      </c>
      <c r="G139" t="s">
        <v>171</v>
      </c>
      <c r="H139">
        <v>1</v>
      </c>
    </row>
    <row r="140" spans="1:8" x14ac:dyDescent="0.45">
      <c r="A140">
        <v>1.4</v>
      </c>
      <c r="B140" t="s">
        <v>589</v>
      </c>
      <c r="C140">
        <v>1</v>
      </c>
      <c r="D140">
        <v>12</v>
      </c>
      <c r="E140" t="s">
        <v>7</v>
      </c>
      <c r="F140" t="s">
        <v>9</v>
      </c>
      <c r="H140">
        <v>1</v>
      </c>
    </row>
    <row r="141" spans="1:8" x14ac:dyDescent="0.45">
      <c r="A141">
        <v>1.4</v>
      </c>
      <c r="B141" t="s">
        <v>589</v>
      </c>
      <c r="C141">
        <v>1</v>
      </c>
      <c r="D141">
        <v>13</v>
      </c>
      <c r="E141" t="s">
        <v>7</v>
      </c>
      <c r="F141" t="s">
        <v>10</v>
      </c>
      <c r="H141">
        <v>1</v>
      </c>
    </row>
    <row r="142" spans="1:8" x14ac:dyDescent="0.45">
      <c r="A142">
        <v>1.4</v>
      </c>
      <c r="B142" t="s">
        <v>589</v>
      </c>
      <c r="C142">
        <v>1</v>
      </c>
      <c r="D142">
        <v>14</v>
      </c>
      <c r="E142" t="s">
        <v>7</v>
      </c>
      <c r="F142" t="s">
        <v>11</v>
      </c>
      <c r="H142">
        <v>1</v>
      </c>
    </row>
    <row r="143" spans="1:8" x14ac:dyDescent="0.45">
      <c r="A143">
        <v>1.4</v>
      </c>
      <c r="B143" t="s">
        <v>589</v>
      </c>
      <c r="C143">
        <v>1</v>
      </c>
      <c r="D143">
        <v>15</v>
      </c>
      <c r="E143" t="s">
        <v>7</v>
      </c>
      <c r="F143" t="s">
        <v>9</v>
      </c>
      <c r="H143">
        <v>1</v>
      </c>
    </row>
    <row r="144" spans="1:8" x14ac:dyDescent="0.45">
      <c r="A144">
        <v>1.4</v>
      </c>
      <c r="B144" t="s">
        <v>589</v>
      </c>
      <c r="C144">
        <v>1</v>
      </c>
      <c r="D144">
        <v>16</v>
      </c>
      <c r="E144" t="s">
        <v>5</v>
      </c>
      <c r="F144" t="s">
        <v>105</v>
      </c>
      <c r="G144" t="s">
        <v>171</v>
      </c>
      <c r="H144">
        <v>1</v>
      </c>
    </row>
    <row r="145" spans="1:8" x14ac:dyDescent="0.45">
      <c r="A145">
        <v>1.4</v>
      </c>
      <c r="B145" t="s">
        <v>589</v>
      </c>
      <c r="C145">
        <v>1</v>
      </c>
      <c r="D145">
        <v>17</v>
      </c>
      <c r="E145" t="s">
        <v>7</v>
      </c>
      <c r="F145" t="s">
        <v>11</v>
      </c>
      <c r="H145">
        <v>1</v>
      </c>
    </row>
    <row r="146" spans="1:8" x14ac:dyDescent="0.45">
      <c r="A146">
        <v>1.4</v>
      </c>
      <c r="B146" t="s">
        <v>589</v>
      </c>
      <c r="C146">
        <v>1</v>
      </c>
      <c r="D146">
        <v>18</v>
      </c>
      <c r="E146" t="s">
        <v>7</v>
      </c>
      <c r="F146" t="s">
        <v>9</v>
      </c>
      <c r="H146">
        <v>1</v>
      </c>
    </row>
    <row r="147" spans="1:8" x14ac:dyDescent="0.45">
      <c r="A147">
        <v>1.4</v>
      </c>
      <c r="B147" t="s">
        <v>589</v>
      </c>
      <c r="C147">
        <v>1</v>
      </c>
      <c r="D147">
        <v>19</v>
      </c>
      <c r="E147" t="s">
        <v>7</v>
      </c>
      <c r="F147" t="s">
        <v>9</v>
      </c>
      <c r="H147">
        <v>1</v>
      </c>
    </row>
    <row r="148" spans="1:8" x14ac:dyDescent="0.45">
      <c r="A148">
        <v>1.4</v>
      </c>
      <c r="B148" t="s">
        <v>589</v>
      </c>
      <c r="C148">
        <v>1</v>
      </c>
      <c r="D148">
        <v>20</v>
      </c>
      <c r="E148" t="s">
        <v>7</v>
      </c>
      <c r="F148" t="s">
        <v>11</v>
      </c>
      <c r="H148">
        <v>1</v>
      </c>
    </row>
    <row r="149" spans="1:8" x14ac:dyDescent="0.45">
      <c r="A149">
        <v>1.4</v>
      </c>
      <c r="D149">
        <v>1</v>
      </c>
      <c r="H149">
        <v>1</v>
      </c>
    </row>
    <row r="150" spans="1:8" x14ac:dyDescent="0.45">
      <c r="A150">
        <v>1.4</v>
      </c>
      <c r="D150">
        <v>2</v>
      </c>
      <c r="H150">
        <v>1</v>
      </c>
    </row>
    <row r="151" spans="1:8" x14ac:dyDescent="0.45">
      <c r="A151">
        <v>1.4</v>
      </c>
      <c r="D151">
        <v>3</v>
      </c>
      <c r="H151">
        <v>1</v>
      </c>
    </row>
    <row r="152" spans="1:8" x14ac:dyDescent="0.45">
      <c r="A152">
        <v>1.4</v>
      </c>
      <c r="H152">
        <v>1</v>
      </c>
    </row>
    <row r="153" spans="1:8" x14ac:dyDescent="0.45">
      <c r="A153">
        <v>1.4</v>
      </c>
      <c r="H153">
        <v>1</v>
      </c>
    </row>
    <row r="154" spans="1:8" x14ac:dyDescent="0.45">
      <c r="A154">
        <v>1.4</v>
      </c>
      <c r="H154">
        <v>1</v>
      </c>
    </row>
    <row r="155" spans="1:8" x14ac:dyDescent="0.45">
      <c r="A155">
        <v>1.4</v>
      </c>
      <c r="H155">
        <v>1</v>
      </c>
    </row>
    <row r="156" spans="1:8" x14ac:dyDescent="0.45">
      <c r="A156">
        <v>1.4</v>
      </c>
      <c r="H156">
        <v>1</v>
      </c>
    </row>
    <row r="157" spans="1:8" x14ac:dyDescent="0.45">
      <c r="A157">
        <v>1.4</v>
      </c>
      <c r="H157">
        <v>1</v>
      </c>
    </row>
    <row r="158" spans="1:8" x14ac:dyDescent="0.45">
      <c r="A158">
        <v>1.4</v>
      </c>
      <c r="H158">
        <v>1</v>
      </c>
    </row>
    <row r="159" spans="1:8" x14ac:dyDescent="0.45">
      <c r="A159">
        <v>1.4</v>
      </c>
      <c r="H159">
        <v>1</v>
      </c>
    </row>
    <row r="160" spans="1:8" x14ac:dyDescent="0.45">
      <c r="A160">
        <v>1.4</v>
      </c>
      <c r="H160">
        <v>1</v>
      </c>
    </row>
    <row r="161" spans="1:8" x14ac:dyDescent="0.45">
      <c r="A161">
        <v>1.4</v>
      </c>
      <c r="H161">
        <v>1</v>
      </c>
    </row>
    <row r="162" spans="1:8" x14ac:dyDescent="0.45">
      <c r="A162">
        <v>1.4</v>
      </c>
      <c r="H162">
        <v>1</v>
      </c>
    </row>
    <row r="163" spans="1:8" x14ac:dyDescent="0.45">
      <c r="A163">
        <v>1.4</v>
      </c>
      <c r="H163">
        <v>1</v>
      </c>
    </row>
    <row r="164" spans="1:8" x14ac:dyDescent="0.45">
      <c r="A164">
        <v>1.4</v>
      </c>
      <c r="H164">
        <v>1</v>
      </c>
    </row>
    <row r="165" spans="1:8" x14ac:dyDescent="0.45">
      <c r="A165">
        <v>1.4</v>
      </c>
      <c r="H165">
        <v>1</v>
      </c>
    </row>
    <row r="166" spans="1:8" x14ac:dyDescent="0.45">
      <c r="A166">
        <v>1.4</v>
      </c>
      <c r="H166">
        <v>1</v>
      </c>
    </row>
    <row r="167" spans="1:8" x14ac:dyDescent="0.45">
      <c r="A167">
        <v>1.4</v>
      </c>
      <c r="H167">
        <v>1</v>
      </c>
    </row>
    <row r="168" spans="1:8" x14ac:dyDescent="0.45">
      <c r="A168">
        <v>1.4</v>
      </c>
      <c r="H168">
        <v>1</v>
      </c>
    </row>
    <row r="169" spans="1:8" x14ac:dyDescent="0.45">
      <c r="A169">
        <v>1.4</v>
      </c>
      <c r="H169">
        <v>1</v>
      </c>
    </row>
    <row r="170" spans="1:8" x14ac:dyDescent="0.45">
      <c r="A170">
        <v>1.4</v>
      </c>
      <c r="H170">
        <v>1</v>
      </c>
    </row>
    <row r="171" spans="1:8" x14ac:dyDescent="0.45">
      <c r="A171">
        <v>1.4</v>
      </c>
      <c r="H171">
        <v>1</v>
      </c>
    </row>
    <row r="172" spans="1:8" x14ac:dyDescent="0.45">
      <c r="A172">
        <v>1.4</v>
      </c>
      <c r="H172">
        <v>1</v>
      </c>
    </row>
    <row r="173" spans="1:8" x14ac:dyDescent="0.45">
      <c r="A173">
        <v>1.4</v>
      </c>
      <c r="H173">
        <v>1</v>
      </c>
    </row>
    <row r="174" spans="1:8" x14ac:dyDescent="0.45">
      <c r="A174">
        <v>1.4</v>
      </c>
      <c r="H174">
        <v>1</v>
      </c>
    </row>
    <row r="175" spans="1:8" x14ac:dyDescent="0.45">
      <c r="A175">
        <v>1.4</v>
      </c>
      <c r="H175">
        <v>1</v>
      </c>
    </row>
    <row r="176" spans="1:8" x14ac:dyDescent="0.45">
      <c r="A176">
        <v>1.4</v>
      </c>
      <c r="H176">
        <v>1</v>
      </c>
    </row>
    <row r="177" spans="1:8" x14ac:dyDescent="0.45">
      <c r="A177">
        <v>1.4</v>
      </c>
      <c r="H177">
        <v>1</v>
      </c>
    </row>
    <row r="178" spans="1:8" x14ac:dyDescent="0.45">
      <c r="A178">
        <v>1.4</v>
      </c>
      <c r="H178">
        <v>1</v>
      </c>
    </row>
    <row r="179" spans="1:8" x14ac:dyDescent="0.45">
      <c r="A179">
        <v>1.4</v>
      </c>
      <c r="H179">
        <v>1</v>
      </c>
    </row>
    <row r="180" spans="1:8" x14ac:dyDescent="0.45">
      <c r="A180">
        <v>1.4</v>
      </c>
      <c r="H180">
        <v>1</v>
      </c>
    </row>
    <row r="181" spans="1:8" x14ac:dyDescent="0.45">
      <c r="A181">
        <v>1.4</v>
      </c>
      <c r="H181">
        <v>1</v>
      </c>
    </row>
    <row r="182" spans="1:8" x14ac:dyDescent="0.45">
      <c r="A182">
        <v>1.4</v>
      </c>
      <c r="H182">
        <v>1</v>
      </c>
    </row>
    <row r="183" spans="1:8" x14ac:dyDescent="0.45">
      <c r="A183">
        <v>1.4</v>
      </c>
      <c r="H183">
        <v>1</v>
      </c>
    </row>
    <row r="184" spans="1:8" x14ac:dyDescent="0.45">
      <c r="A184">
        <v>1.4</v>
      </c>
      <c r="H184">
        <v>1</v>
      </c>
    </row>
    <row r="185" spans="1:8" x14ac:dyDescent="0.45">
      <c r="A185">
        <v>1.4</v>
      </c>
      <c r="H185">
        <v>1</v>
      </c>
    </row>
    <row r="186" spans="1:8" x14ac:dyDescent="0.45">
      <c r="A186">
        <v>1.4</v>
      </c>
      <c r="H186">
        <v>1</v>
      </c>
    </row>
    <row r="187" spans="1:8" x14ac:dyDescent="0.45">
      <c r="A187">
        <v>1.4</v>
      </c>
      <c r="H187">
        <v>1</v>
      </c>
    </row>
    <row r="188" spans="1:8" x14ac:dyDescent="0.45">
      <c r="A188">
        <v>1.4</v>
      </c>
      <c r="H188">
        <v>1</v>
      </c>
    </row>
    <row r="189" spans="1:8" x14ac:dyDescent="0.45">
      <c r="A189">
        <v>1.4</v>
      </c>
      <c r="H189">
        <v>1</v>
      </c>
    </row>
    <row r="190" spans="1:8" x14ac:dyDescent="0.45">
      <c r="A190">
        <v>1.4</v>
      </c>
      <c r="H190">
        <v>1</v>
      </c>
    </row>
    <row r="191" spans="1:8" x14ac:dyDescent="0.45">
      <c r="A191">
        <v>1.4</v>
      </c>
      <c r="H191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1EE2-B2FC-4611-92A0-7387450D1F2F}">
  <dimension ref="A1:M204"/>
  <sheetViews>
    <sheetView workbookViewId="0">
      <pane ySplit="3" topLeftCell="A171" activePane="bottomLeft" state="frozen"/>
      <selection pane="bottomLeft" activeCell="G177" sqref="G177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1.3</v>
      </c>
      <c r="B2" t="s">
        <v>312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78</v>
      </c>
      <c r="K2">
        <f>J2+J3</f>
        <v>101</v>
      </c>
      <c r="L2">
        <f>J2/K2</f>
        <v>0.7722772277227723</v>
      </c>
      <c r="M2">
        <f>SQRT(L2*L3/K2)</f>
        <v>4.1728152671574072E-2</v>
      </c>
    </row>
    <row r="3" spans="1:13" x14ac:dyDescent="0.45">
      <c r="A3">
        <v>1.3</v>
      </c>
      <c r="B3" t="s">
        <v>312</v>
      </c>
      <c r="C3">
        <v>1</v>
      </c>
      <c r="D3">
        <v>2</v>
      </c>
      <c r="E3" t="s">
        <v>18</v>
      </c>
      <c r="F3" t="s">
        <v>313</v>
      </c>
      <c r="H3">
        <v>1</v>
      </c>
      <c r="I3" t="s">
        <v>18</v>
      </c>
      <c r="J3">
        <f>COUNTIFS(E:E,"*B*",H:H,1)</f>
        <v>23</v>
      </c>
      <c r="L3">
        <f>J3/K2</f>
        <v>0.22772277227722773</v>
      </c>
    </row>
    <row r="4" spans="1:13" x14ac:dyDescent="0.45">
      <c r="A4">
        <v>1.3</v>
      </c>
      <c r="B4" t="s">
        <v>312</v>
      </c>
      <c r="C4">
        <v>1</v>
      </c>
      <c r="D4">
        <v>3</v>
      </c>
      <c r="E4" t="s">
        <v>5</v>
      </c>
      <c r="F4" t="s">
        <v>108</v>
      </c>
      <c r="H4">
        <v>1</v>
      </c>
      <c r="I4" t="s">
        <v>7</v>
      </c>
      <c r="J4">
        <f>COUNTIFS(E:E,"*U*",H:H,1)</f>
        <v>74</v>
      </c>
    </row>
    <row r="5" spans="1:13" x14ac:dyDescent="0.45">
      <c r="A5">
        <v>1.3</v>
      </c>
      <c r="B5" t="s">
        <v>312</v>
      </c>
      <c r="C5">
        <v>1</v>
      </c>
      <c r="D5">
        <v>4</v>
      </c>
      <c r="E5" t="s">
        <v>7</v>
      </c>
      <c r="F5" t="s">
        <v>11</v>
      </c>
      <c r="H5">
        <v>1</v>
      </c>
    </row>
    <row r="6" spans="1:13" x14ac:dyDescent="0.45">
      <c r="A6">
        <v>1.3</v>
      </c>
      <c r="B6" t="s">
        <v>312</v>
      </c>
      <c r="C6">
        <v>1</v>
      </c>
      <c r="D6">
        <v>5</v>
      </c>
      <c r="E6" t="s">
        <v>5</v>
      </c>
      <c r="F6" t="s">
        <v>111</v>
      </c>
      <c r="H6">
        <v>1</v>
      </c>
    </row>
    <row r="7" spans="1:13" x14ac:dyDescent="0.45">
      <c r="A7">
        <v>1.3</v>
      </c>
      <c r="B7" t="s">
        <v>312</v>
      </c>
      <c r="C7">
        <v>1</v>
      </c>
      <c r="D7">
        <v>6</v>
      </c>
      <c r="E7" t="s">
        <v>5</v>
      </c>
      <c r="F7" t="s">
        <v>314</v>
      </c>
      <c r="H7">
        <v>1</v>
      </c>
    </row>
    <row r="8" spans="1:13" x14ac:dyDescent="0.45">
      <c r="A8">
        <v>1.3</v>
      </c>
      <c r="B8" t="s">
        <v>312</v>
      </c>
      <c r="C8">
        <v>1</v>
      </c>
      <c r="D8">
        <v>7</v>
      </c>
      <c r="E8" t="s">
        <v>7</v>
      </c>
      <c r="F8" t="s">
        <v>9</v>
      </c>
      <c r="H8">
        <v>1</v>
      </c>
    </row>
    <row r="9" spans="1:13" x14ac:dyDescent="0.45">
      <c r="A9">
        <v>1.3</v>
      </c>
      <c r="B9" t="s">
        <v>312</v>
      </c>
      <c r="C9">
        <v>1</v>
      </c>
      <c r="D9">
        <v>8</v>
      </c>
      <c r="E9" t="s">
        <v>7</v>
      </c>
      <c r="F9" t="s">
        <v>9</v>
      </c>
      <c r="H9">
        <v>1</v>
      </c>
    </row>
    <row r="10" spans="1:13" x14ac:dyDescent="0.45">
      <c r="A10">
        <v>1.3</v>
      </c>
      <c r="B10" t="s">
        <v>312</v>
      </c>
      <c r="C10">
        <v>1</v>
      </c>
      <c r="D10">
        <v>9</v>
      </c>
      <c r="E10" t="s">
        <v>5</v>
      </c>
      <c r="F10" t="s">
        <v>274</v>
      </c>
      <c r="H10">
        <v>1</v>
      </c>
    </row>
    <row r="11" spans="1:13" x14ac:dyDescent="0.45">
      <c r="A11">
        <v>1.3</v>
      </c>
      <c r="B11" t="s">
        <v>312</v>
      </c>
      <c r="C11">
        <v>1</v>
      </c>
      <c r="D11">
        <v>10</v>
      </c>
      <c r="E11" t="s">
        <v>5</v>
      </c>
      <c r="F11" t="s">
        <v>108</v>
      </c>
      <c r="H11">
        <v>1</v>
      </c>
    </row>
    <row r="12" spans="1:13" x14ac:dyDescent="0.45">
      <c r="A12">
        <v>1.3</v>
      </c>
      <c r="B12" t="s">
        <v>312</v>
      </c>
      <c r="C12">
        <v>1</v>
      </c>
      <c r="D12">
        <v>11</v>
      </c>
      <c r="E12" t="s">
        <v>5</v>
      </c>
      <c r="F12" t="s">
        <v>317</v>
      </c>
      <c r="H12">
        <v>1</v>
      </c>
    </row>
    <row r="13" spans="1:13" x14ac:dyDescent="0.45">
      <c r="A13">
        <v>1.3</v>
      </c>
      <c r="B13" t="s">
        <v>312</v>
      </c>
      <c r="C13">
        <v>1</v>
      </c>
      <c r="D13">
        <v>12</v>
      </c>
      <c r="E13" t="s">
        <v>7</v>
      </c>
      <c r="F13" t="s">
        <v>10</v>
      </c>
      <c r="H13">
        <v>1</v>
      </c>
    </row>
    <row r="14" spans="1:13" x14ac:dyDescent="0.45">
      <c r="A14">
        <v>1.3</v>
      </c>
      <c r="B14" t="s">
        <v>312</v>
      </c>
      <c r="C14">
        <v>1</v>
      </c>
      <c r="D14">
        <v>13</v>
      </c>
      <c r="E14" t="s">
        <v>5</v>
      </c>
      <c r="F14" t="s">
        <v>318</v>
      </c>
      <c r="G14" t="s">
        <v>171</v>
      </c>
      <c r="H14">
        <v>1</v>
      </c>
    </row>
    <row r="15" spans="1:13" x14ac:dyDescent="0.45">
      <c r="A15">
        <v>1.3</v>
      </c>
      <c r="B15" t="s">
        <v>312</v>
      </c>
      <c r="C15">
        <v>1</v>
      </c>
      <c r="D15">
        <v>14</v>
      </c>
      <c r="E15" t="s">
        <v>7</v>
      </c>
      <c r="F15" t="s">
        <v>11</v>
      </c>
      <c r="H15">
        <v>1</v>
      </c>
    </row>
    <row r="16" spans="1:13" x14ac:dyDescent="0.45">
      <c r="A16">
        <v>1.3</v>
      </c>
      <c r="B16" t="s">
        <v>312</v>
      </c>
      <c r="C16">
        <v>1</v>
      </c>
      <c r="D16">
        <v>15</v>
      </c>
      <c r="E16" t="s">
        <v>7</v>
      </c>
      <c r="F16" t="s">
        <v>10</v>
      </c>
      <c r="H16">
        <v>1</v>
      </c>
    </row>
    <row r="17" spans="1:8" x14ac:dyDescent="0.45">
      <c r="A17">
        <v>1.3</v>
      </c>
      <c r="B17" t="s">
        <v>312</v>
      </c>
      <c r="C17">
        <v>1</v>
      </c>
      <c r="D17">
        <v>16</v>
      </c>
      <c r="E17" t="s">
        <v>5</v>
      </c>
      <c r="F17" t="s">
        <v>153</v>
      </c>
      <c r="H17">
        <v>1</v>
      </c>
    </row>
    <row r="18" spans="1:8" x14ac:dyDescent="0.45">
      <c r="A18">
        <v>1.3</v>
      </c>
      <c r="B18" t="s">
        <v>312</v>
      </c>
      <c r="C18">
        <v>1</v>
      </c>
      <c r="D18">
        <v>17</v>
      </c>
      <c r="E18" t="s">
        <v>7</v>
      </c>
      <c r="F18" t="s">
        <v>10</v>
      </c>
      <c r="H18">
        <v>1</v>
      </c>
    </row>
    <row r="19" spans="1:8" x14ac:dyDescent="0.45">
      <c r="A19">
        <v>1.3</v>
      </c>
      <c r="B19" t="s">
        <v>312</v>
      </c>
      <c r="C19">
        <v>1</v>
      </c>
      <c r="D19">
        <v>18</v>
      </c>
      <c r="E19" t="s">
        <v>7</v>
      </c>
      <c r="F19" t="s">
        <v>9</v>
      </c>
      <c r="H19">
        <v>1</v>
      </c>
    </row>
    <row r="20" spans="1:8" x14ac:dyDescent="0.45">
      <c r="A20">
        <v>1.3</v>
      </c>
      <c r="B20" t="s">
        <v>312</v>
      </c>
      <c r="C20">
        <v>1</v>
      </c>
      <c r="D20">
        <v>19</v>
      </c>
      <c r="E20" t="s">
        <v>7</v>
      </c>
      <c r="F20" t="s">
        <v>11</v>
      </c>
      <c r="H20">
        <v>1</v>
      </c>
    </row>
    <row r="21" spans="1:8" x14ac:dyDescent="0.45">
      <c r="A21">
        <v>1.3</v>
      </c>
      <c r="B21" t="s">
        <v>312</v>
      </c>
      <c r="C21">
        <v>1</v>
      </c>
      <c r="D21">
        <v>20</v>
      </c>
      <c r="E21" t="s">
        <v>18</v>
      </c>
      <c r="F21" t="s">
        <v>319</v>
      </c>
      <c r="H21">
        <v>1</v>
      </c>
    </row>
    <row r="22" spans="1:8" x14ac:dyDescent="0.45">
      <c r="A22">
        <v>1.3</v>
      </c>
      <c r="B22" t="s">
        <v>312</v>
      </c>
      <c r="C22">
        <v>1</v>
      </c>
      <c r="D22">
        <v>21</v>
      </c>
      <c r="E22" t="s">
        <v>5</v>
      </c>
      <c r="F22" t="s">
        <v>321</v>
      </c>
      <c r="H22">
        <v>1</v>
      </c>
    </row>
    <row r="23" spans="1:8" x14ac:dyDescent="0.45">
      <c r="A23">
        <v>1.3</v>
      </c>
      <c r="B23" t="s">
        <v>312</v>
      </c>
      <c r="C23">
        <v>1</v>
      </c>
      <c r="D23">
        <v>22</v>
      </c>
      <c r="E23" t="s">
        <v>5</v>
      </c>
      <c r="F23" t="s">
        <v>322</v>
      </c>
      <c r="H23">
        <v>1</v>
      </c>
    </row>
    <row r="24" spans="1:8" x14ac:dyDescent="0.45">
      <c r="A24">
        <v>1.3</v>
      </c>
      <c r="B24" t="s">
        <v>312</v>
      </c>
      <c r="C24">
        <v>1</v>
      </c>
      <c r="D24">
        <v>23</v>
      </c>
      <c r="E24" t="s">
        <v>7</v>
      </c>
      <c r="F24" t="s">
        <v>11</v>
      </c>
      <c r="H24">
        <v>1</v>
      </c>
    </row>
    <row r="25" spans="1:8" x14ac:dyDescent="0.45">
      <c r="A25">
        <v>1.3</v>
      </c>
      <c r="B25" t="s">
        <v>312</v>
      </c>
      <c r="C25">
        <v>1</v>
      </c>
      <c r="D25">
        <v>24</v>
      </c>
      <c r="E25" t="s">
        <v>7</v>
      </c>
      <c r="F25" t="s">
        <v>11</v>
      </c>
      <c r="H25">
        <v>1</v>
      </c>
    </row>
    <row r="26" spans="1:8" x14ac:dyDescent="0.45">
      <c r="A26">
        <v>1.3</v>
      </c>
      <c r="B26" t="s">
        <v>312</v>
      </c>
      <c r="C26">
        <v>1</v>
      </c>
      <c r="D26">
        <v>25</v>
      </c>
      <c r="E26" t="s">
        <v>7</v>
      </c>
      <c r="F26" t="s">
        <v>9</v>
      </c>
      <c r="H26">
        <v>1</v>
      </c>
    </row>
    <row r="27" spans="1:8" x14ac:dyDescent="0.45">
      <c r="A27">
        <v>1.3</v>
      </c>
      <c r="B27" t="s">
        <v>312</v>
      </c>
      <c r="C27">
        <v>401</v>
      </c>
      <c r="D27">
        <v>1</v>
      </c>
      <c r="E27" t="s">
        <v>7</v>
      </c>
      <c r="F27" t="s">
        <v>10</v>
      </c>
      <c r="H27">
        <v>1</v>
      </c>
    </row>
    <row r="28" spans="1:8" x14ac:dyDescent="0.45">
      <c r="A28">
        <v>1.3</v>
      </c>
      <c r="B28" t="s">
        <v>312</v>
      </c>
      <c r="C28">
        <v>401</v>
      </c>
      <c r="D28">
        <v>2</v>
      </c>
      <c r="E28" t="s">
        <v>5</v>
      </c>
      <c r="F28" t="s">
        <v>34</v>
      </c>
      <c r="G28" t="s">
        <v>171</v>
      </c>
      <c r="H28">
        <v>1</v>
      </c>
    </row>
    <row r="29" spans="1:8" x14ac:dyDescent="0.45">
      <c r="A29">
        <v>1.3</v>
      </c>
      <c r="B29" t="s">
        <v>312</v>
      </c>
      <c r="C29">
        <v>401</v>
      </c>
      <c r="D29">
        <v>3</v>
      </c>
      <c r="E29" t="s">
        <v>7</v>
      </c>
      <c r="F29" t="s">
        <v>10</v>
      </c>
      <c r="H29">
        <v>1</v>
      </c>
    </row>
    <row r="30" spans="1:8" x14ac:dyDescent="0.45">
      <c r="A30">
        <v>1.3</v>
      </c>
      <c r="B30" t="s">
        <v>312</v>
      </c>
      <c r="C30">
        <v>401</v>
      </c>
      <c r="D30">
        <v>4</v>
      </c>
      <c r="E30" t="s">
        <v>5</v>
      </c>
      <c r="F30" t="s">
        <v>34</v>
      </c>
      <c r="H30">
        <v>1</v>
      </c>
    </row>
    <row r="31" spans="1:8" x14ac:dyDescent="0.45">
      <c r="A31">
        <v>1.3</v>
      </c>
      <c r="B31" t="s">
        <v>312</v>
      </c>
      <c r="C31">
        <v>401</v>
      </c>
      <c r="D31">
        <v>5</v>
      </c>
      <c r="E31" t="s">
        <v>5</v>
      </c>
      <c r="F31" t="s">
        <v>215</v>
      </c>
      <c r="H31">
        <v>1</v>
      </c>
    </row>
    <row r="32" spans="1:8" x14ac:dyDescent="0.45">
      <c r="A32">
        <v>1.3</v>
      </c>
      <c r="B32" t="s">
        <v>312</v>
      </c>
      <c r="C32">
        <v>401</v>
      </c>
      <c r="D32">
        <v>6</v>
      </c>
      <c r="E32" t="s">
        <v>7</v>
      </c>
      <c r="F32" t="s">
        <v>10</v>
      </c>
      <c r="H32">
        <v>1</v>
      </c>
    </row>
    <row r="33" spans="1:8" x14ac:dyDescent="0.45">
      <c r="A33">
        <v>1.3</v>
      </c>
      <c r="B33" t="s">
        <v>312</v>
      </c>
      <c r="C33">
        <v>401</v>
      </c>
      <c r="D33">
        <v>7</v>
      </c>
      <c r="E33" t="s">
        <v>5</v>
      </c>
      <c r="F33" t="s">
        <v>277</v>
      </c>
      <c r="G33" t="s">
        <v>171</v>
      </c>
      <c r="H33">
        <v>1</v>
      </c>
    </row>
    <row r="34" spans="1:8" x14ac:dyDescent="0.45">
      <c r="A34">
        <v>1.3</v>
      </c>
      <c r="B34" t="s">
        <v>312</v>
      </c>
      <c r="C34">
        <v>401</v>
      </c>
      <c r="D34">
        <v>8</v>
      </c>
      <c r="E34" t="s">
        <v>7</v>
      </c>
      <c r="F34" t="s">
        <v>10</v>
      </c>
      <c r="H34">
        <v>1</v>
      </c>
    </row>
    <row r="35" spans="1:8" x14ac:dyDescent="0.45">
      <c r="A35">
        <v>1.3</v>
      </c>
      <c r="B35" t="s">
        <v>312</v>
      </c>
      <c r="C35">
        <v>401</v>
      </c>
      <c r="D35">
        <v>9</v>
      </c>
      <c r="E35" t="s">
        <v>7</v>
      </c>
      <c r="F35" t="s">
        <v>11</v>
      </c>
      <c r="H35">
        <v>1</v>
      </c>
    </row>
    <row r="36" spans="1:8" x14ac:dyDescent="0.45">
      <c r="A36">
        <v>1.3</v>
      </c>
      <c r="B36" t="s">
        <v>312</v>
      </c>
      <c r="C36">
        <v>401</v>
      </c>
      <c r="D36">
        <v>10</v>
      </c>
      <c r="E36" t="s">
        <v>7</v>
      </c>
      <c r="F36" t="s">
        <v>9</v>
      </c>
      <c r="H36">
        <v>1</v>
      </c>
    </row>
    <row r="37" spans="1:8" x14ac:dyDescent="0.45">
      <c r="A37">
        <v>1.3</v>
      </c>
      <c r="B37" t="s">
        <v>312</v>
      </c>
      <c r="C37">
        <v>401</v>
      </c>
      <c r="D37">
        <v>11</v>
      </c>
      <c r="E37" t="s">
        <v>5</v>
      </c>
      <c r="F37" t="s">
        <v>323</v>
      </c>
      <c r="G37" t="s">
        <v>171</v>
      </c>
      <c r="H37">
        <v>1</v>
      </c>
    </row>
    <row r="38" spans="1:8" x14ac:dyDescent="0.45">
      <c r="A38">
        <v>1.3</v>
      </c>
      <c r="B38" t="s">
        <v>312</v>
      </c>
      <c r="C38">
        <v>401</v>
      </c>
      <c r="D38">
        <v>12</v>
      </c>
      <c r="E38" t="s">
        <v>7</v>
      </c>
      <c r="F38" t="s">
        <v>10</v>
      </c>
      <c r="H38">
        <v>1</v>
      </c>
    </row>
    <row r="39" spans="1:8" x14ac:dyDescent="0.45">
      <c r="A39">
        <v>1.3</v>
      </c>
      <c r="B39" t="s">
        <v>312</v>
      </c>
      <c r="C39">
        <v>401</v>
      </c>
      <c r="D39">
        <v>13</v>
      </c>
      <c r="E39" t="s">
        <v>5</v>
      </c>
      <c r="F39" t="s">
        <v>12</v>
      </c>
      <c r="H39">
        <v>1</v>
      </c>
    </row>
    <row r="40" spans="1:8" x14ac:dyDescent="0.45">
      <c r="A40">
        <v>1.3</v>
      </c>
      <c r="B40" t="s">
        <v>312</v>
      </c>
      <c r="C40">
        <v>401</v>
      </c>
      <c r="D40">
        <v>14</v>
      </c>
      <c r="E40" t="s">
        <v>5</v>
      </c>
      <c r="F40" t="s">
        <v>114</v>
      </c>
      <c r="H40">
        <v>1</v>
      </c>
    </row>
    <row r="41" spans="1:8" x14ac:dyDescent="0.45">
      <c r="A41">
        <v>1.3</v>
      </c>
      <c r="B41" t="s">
        <v>312</v>
      </c>
      <c r="C41">
        <v>801</v>
      </c>
      <c r="D41">
        <v>1</v>
      </c>
      <c r="E41" t="s">
        <v>7</v>
      </c>
      <c r="F41" t="s">
        <v>9</v>
      </c>
      <c r="H41">
        <v>1</v>
      </c>
    </row>
    <row r="42" spans="1:8" x14ac:dyDescent="0.45">
      <c r="A42">
        <v>1.3</v>
      </c>
      <c r="B42" t="s">
        <v>312</v>
      </c>
      <c r="C42">
        <v>801</v>
      </c>
      <c r="D42">
        <v>2</v>
      </c>
      <c r="E42" t="s">
        <v>7</v>
      </c>
      <c r="F42" t="s">
        <v>9</v>
      </c>
      <c r="H42">
        <v>1</v>
      </c>
    </row>
    <row r="43" spans="1:8" x14ac:dyDescent="0.45">
      <c r="A43">
        <v>1.3</v>
      </c>
      <c r="B43" t="s">
        <v>312</v>
      </c>
      <c r="C43">
        <v>801</v>
      </c>
      <c r="D43">
        <v>3</v>
      </c>
      <c r="E43" t="s">
        <v>7</v>
      </c>
      <c r="F43" t="s">
        <v>9</v>
      </c>
      <c r="H43">
        <v>1</v>
      </c>
    </row>
    <row r="44" spans="1:8" x14ac:dyDescent="0.45">
      <c r="A44">
        <v>1.3</v>
      </c>
      <c r="B44" t="s">
        <v>312</v>
      </c>
      <c r="C44">
        <v>801</v>
      </c>
      <c r="D44">
        <v>4</v>
      </c>
      <c r="E44" t="s">
        <v>5</v>
      </c>
      <c r="F44" t="s">
        <v>323</v>
      </c>
      <c r="H44">
        <v>1</v>
      </c>
    </row>
    <row r="45" spans="1:8" x14ac:dyDescent="0.45">
      <c r="A45">
        <v>1.3</v>
      </c>
      <c r="B45" t="s">
        <v>312</v>
      </c>
      <c r="C45">
        <v>801</v>
      </c>
      <c r="D45">
        <v>5</v>
      </c>
      <c r="E45" t="s">
        <v>7</v>
      </c>
      <c r="F45" t="s">
        <v>10</v>
      </c>
      <c r="H45">
        <v>1</v>
      </c>
    </row>
    <row r="46" spans="1:8" x14ac:dyDescent="0.45">
      <c r="A46">
        <v>1.3</v>
      </c>
      <c r="B46" t="s">
        <v>312</v>
      </c>
      <c r="C46">
        <v>801</v>
      </c>
      <c r="D46">
        <v>6</v>
      </c>
      <c r="E46" t="s">
        <v>7</v>
      </c>
      <c r="F46" t="s">
        <v>9</v>
      </c>
      <c r="H46">
        <v>1</v>
      </c>
    </row>
    <row r="47" spans="1:8" x14ac:dyDescent="0.45">
      <c r="A47">
        <v>1.3</v>
      </c>
      <c r="B47" t="s">
        <v>312</v>
      </c>
      <c r="C47">
        <v>801</v>
      </c>
      <c r="D47">
        <v>7</v>
      </c>
      <c r="E47" t="s">
        <v>5</v>
      </c>
      <c r="F47" t="s">
        <v>166</v>
      </c>
      <c r="H47">
        <v>1</v>
      </c>
    </row>
    <row r="48" spans="1:8" x14ac:dyDescent="0.45">
      <c r="A48">
        <v>1.3</v>
      </c>
      <c r="B48" t="s">
        <v>312</v>
      </c>
      <c r="C48">
        <v>801</v>
      </c>
      <c r="D48">
        <v>8</v>
      </c>
      <c r="E48" t="s">
        <v>5</v>
      </c>
      <c r="F48" t="s">
        <v>163</v>
      </c>
      <c r="H48">
        <v>1</v>
      </c>
    </row>
    <row r="49" spans="1:8" x14ac:dyDescent="0.45">
      <c r="A49">
        <v>1.3</v>
      </c>
      <c r="B49" t="s">
        <v>312</v>
      </c>
      <c r="C49">
        <v>801</v>
      </c>
      <c r="D49">
        <v>9</v>
      </c>
      <c r="E49" t="s">
        <v>5</v>
      </c>
      <c r="F49" t="s">
        <v>324</v>
      </c>
      <c r="H49">
        <v>1</v>
      </c>
    </row>
    <row r="50" spans="1:8" x14ac:dyDescent="0.45">
      <c r="A50">
        <v>1.3</v>
      </c>
      <c r="B50" t="s">
        <v>312</v>
      </c>
      <c r="C50">
        <v>801</v>
      </c>
      <c r="D50">
        <v>10</v>
      </c>
      <c r="E50" t="s">
        <v>5</v>
      </c>
      <c r="F50" t="s">
        <v>325</v>
      </c>
      <c r="H50">
        <v>1</v>
      </c>
    </row>
    <row r="51" spans="1:8" x14ac:dyDescent="0.45">
      <c r="A51">
        <v>1.3</v>
      </c>
      <c r="B51" t="s">
        <v>312</v>
      </c>
      <c r="C51">
        <v>801</v>
      </c>
      <c r="D51">
        <v>11</v>
      </c>
      <c r="E51" t="s">
        <v>5</v>
      </c>
      <c r="F51" t="s">
        <v>326</v>
      </c>
      <c r="H51">
        <v>1</v>
      </c>
    </row>
    <row r="52" spans="1:8" x14ac:dyDescent="0.45">
      <c r="A52">
        <v>1.3</v>
      </c>
      <c r="B52" t="s">
        <v>312</v>
      </c>
      <c r="C52">
        <v>801</v>
      </c>
      <c r="D52">
        <v>12</v>
      </c>
      <c r="E52" t="s">
        <v>5</v>
      </c>
      <c r="F52" t="s">
        <v>251</v>
      </c>
      <c r="H52">
        <v>1</v>
      </c>
    </row>
    <row r="53" spans="1:8" x14ac:dyDescent="0.45">
      <c r="A53">
        <v>1.3</v>
      </c>
      <c r="B53" t="s">
        <v>312</v>
      </c>
      <c r="C53">
        <v>801</v>
      </c>
      <c r="D53">
        <v>13</v>
      </c>
      <c r="E53" t="s">
        <v>7</v>
      </c>
      <c r="F53" t="s">
        <v>10</v>
      </c>
      <c r="H53">
        <v>1</v>
      </c>
    </row>
    <row r="54" spans="1:8" x14ac:dyDescent="0.45">
      <c r="A54">
        <v>1.3</v>
      </c>
      <c r="B54" t="s">
        <v>312</v>
      </c>
      <c r="C54">
        <v>801</v>
      </c>
      <c r="D54">
        <v>14</v>
      </c>
      <c r="E54" t="s">
        <v>5</v>
      </c>
      <c r="F54" t="s">
        <v>252</v>
      </c>
      <c r="H54">
        <v>1</v>
      </c>
    </row>
    <row r="55" spans="1:8" x14ac:dyDescent="0.45">
      <c r="A55">
        <v>1.3</v>
      </c>
      <c r="B55" t="s">
        <v>312</v>
      </c>
      <c r="C55">
        <v>801</v>
      </c>
      <c r="D55">
        <v>15</v>
      </c>
      <c r="E55" t="s">
        <v>7</v>
      </c>
      <c r="F55" t="s">
        <v>10</v>
      </c>
      <c r="H55">
        <v>1</v>
      </c>
    </row>
    <row r="56" spans="1:8" x14ac:dyDescent="0.45">
      <c r="A56">
        <v>1.3</v>
      </c>
      <c r="B56" t="s">
        <v>312</v>
      </c>
      <c r="C56">
        <v>801</v>
      </c>
      <c r="D56">
        <v>16</v>
      </c>
      <c r="E56" t="s">
        <v>7</v>
      </c>
      <c r="F56" t="s">
        <v>11</v>
      </c>
      <c r="H56">
        <v>1</v>
      </c>
    </row>
    <row r="57" spans="1:8" x14ac:dyDescent="0.45">
      <c r="A57">
        <v>1.3</v>
      </c>
      <c r="B57" t="s">
        <v>312</v>
      </c>
      <c r="C57">
        <v>801</v>
      </c>
      <c r="D57">
        <v>17</v>
      </c>
      <c r="E57" t="s">
        <v>5</v>
      </c>
      <c r="F57" t="s">
        <v>327</v>
      </c>
      <c r="H57">
        <v>1</v>
      </c>
    </row>
    <row r="58" spans="1:8" x14ac:dyDescent="0.45">
      <c r="A58">
        <v>1.3</v>
      </c>
      <c r="B58" t="s">
        <v>312</v>
      </c>
      <c r="C58">
        <v>801</v>
      </c>
      <c r="D58">
        <v>18</v>
      </c>
      <c r="E58" t="s">
        <v>7</v>
      </c>
      <c r="F58" t="s">
        <v>9</v>
      </c>
      <c r="H58">
        <v>1</v>
      </c>
    </row>
    <row r="59" spans="1:8" x14ac:dyDescent="0.45">
      <c r="A59">
        <v>1.3</v>
      </c>
      <c r="B59" t="s">
        <v>312</v>
      </c>
      <c r="C59">
        <v>801</v>
      </c>
      <c r="D59">
        <v>19</v>
      </c>
      <c r="E59" t="s">
        <v>18</v>
      </c>
      <c r="F59" t="s">
        <v>328</v>
      </c>
      <c r="H59">
        <v>1</v>
      </c>
    </row>
    <row r="60" spans="1:8" x14ac:dyDescent="0.45">
      <c r="A60">
        <v>1.3</v>
      </c>
      <c r="B60" t="s">
        <v>312</v>
      </c>
      <c r="C60">
        <v>801</v>
      </c>
      <c r="D60">
        <v>20</v>
      </c>
      <c r="E60" t="s">
        <v>7</v>
      </c>
      <c r="F60" t="s">
        <v>10</v>
      </c>
      <c r="H60">
        <v>1</v>
      </c>
    </row>
    <row r="61" spans="1:8" x14ac:dyDescent="0.45">
      <c r="A61">
        <v>1.3</v>
      </c>
      <c r="B61" t="s">
        <v>312</v>
      </c>
      <c r="C61">
        <v>801</v>
      </c>
      <c r="D61">
        <v>21</v>
      </c>
      <c r="E61" t="s">
        <v>5</v>
      </c>
      <c r="F61" t="s">
        <v>176</v>
      </c>
      <c r="H61">
        <v>1</v>
      </c>
    </row>
    <row r="62" spans="1:8" x14ac:dyDescent="0.45">
      <c r="A62">
        <v>1.3</v>
      </c>
      <c r="B62" t="s">
        <v>312</v>
      </c>
      <c r="C62">
        <v>801</v>
      </c>
      <c r="D62">
        <v>22</v>
      </c>
      <c r="E62" t="s">
        <v>18</v>
      </c>
      <c r="F62" t="s">
        <v>329</v>
      </c>
      <c r="H62">
        <v>1</v>
      </c>
    </row>
    <row r="63" spans="1:8" x14ac:dyDescent="0.45">
      <c r="A63">
        <v>1.3</v>
      </c>
      <c r="B63" t="s">
        <v>312</v>
      </c>
      <c r="C63">
        <v>801</v>
      </c>
      <c r="D63">
        <v>23</v>
      </c>
      <c r="E63" t="s">
        <v>7</v>
      </c>
      <c r="F63" t="s">
        <v>11</v>
      </c>
      <c r="H63">
        <v>1</v>
      </c>
    </row>
    <row r="64" spans="1:8" x14ac:dyDescent="0.45">
      <c r="A64">
        <v>1.3</v>
      </c>
      <c r="B64" t="s">
        <v>312</v>
      </c>
      <c r="C64">
        <v>1201</v>
      </c>
      <c r="D64">
        <v>1</v>
      </c>
      <c r="E64" t="s">
        <v>7</v>
      </c>
      <c r="F64" t="s">
        <v>11</v>
      </c>
      <c r="H64">
        <v>1</v>
      </c>
    </row>
    <row r="65" spans="1:8" x14ac:dyDescent="0.45">
      <c r="A65">
        <v>1.3</v>
      </c>
      <c r="B65" t="s">
        <v>312</v>
      </c>
      <c r="C65">
        <v>1201</v>
      </c>
      <c r="D65">
        <v>2</v>
      </c>
      <c r="E65" t="s">
        <v>7</v>
      </c>
      <c r="F65" t="s">
        <v>9</v>
      </c>
      <c r="H65">
        <v>1</v>
      </c>
    </row>
    <row r="66" spans="1:8" x14ac:dyDescent="0.45">
      <c r="A66">
        <v>1.3</v>
      </c>
      <c r="B66" t="s">
        <v>312</v>
      </c>
      <c r="C66">
        <v>1201</v>
      </c>
      <c r="D66">
        <v>3</v>
      </c>
      <c r="E66" t="s">
        <v>5</v>
      </c>
      <c r="F66" t="s">
        <v>180</v>
      </c>
      <c r="H66">
        <v>1</v>
      </c>
    </row>
    <row r="67" spans="1:8" x14ac:dyDescent="0.45">
      <c r="A67">
        <v>1.3</v>
      </c>
      <c r="B67" t="s">
        <v>312</v>
      </c>
      <c r="C67">
        <v>1201</v>
      </c>
      <c r="D67">
        <v>4</v>
      </c>
      <c r="E67" t="s">
        <v>7</v>
      </c>
      <c r="F67" t="s">
        <v>10</v>
      </c>
      <c r="H67">
        <v>1</v>
      </c>
    </row>
    <row r="68" spans="1:8" x14ac:dyDescent="0.45">
      <c r="A68">
        <v>1.3</v>
      </c>
      <c r="B68" t="s">
        <v>312</v>
      </c>
      <c r="C68">
        <v>1201</v>
      </c>
      <c r="D68">
        <v>5</v>
      </c>
      <c r="E68" t="s">
        <v>18</v>
      </c>
      <c r="F68" t="s">
        <v>330</v>
      </c>
      <c r="H68">
        <v>1</v>
      </c>
    </row>
    <row r="69" spans="1:8" x14ac:dyDescent="0.45">
      <c r="A69">
        <v>1.3</v>
      </c>
      <c r="B69" t="s">
        <v>312</v>
      </c>
      <c r="C69">
        <v>1201</v>
      </c>
      <c r="D69">
        <v>6</v>
      </c>
      <c r="E69" t="s">
        <v>5</v>
      </c>
      <c r="F69" t="s">
        <v>226</v>
      </c>
      <c r="H69">
        <v>1</v>
      </c>
    </row>
    <row r="70" spans="1:8" x14ac:dyDescent="0.45">
      <c r="A70">
        <v>1.3</v>
      </c>
      <c r="B70" t="s">
        <v>312</v>
      </c>
      <c r="C70">
        <v>1201</v>
      </c>
      <c r="D70">
        <v>7</v>
      </c>
      <c r="E70" t="s">
        <v>5</v>
      </c>
      <c r="F70" t="s">
        <v>226</v>
      </c>
      <c r="G70" t="s">
        <v>171</v>
      </c>
      <c r="H70">
        <v>1</v>
      </c>
    </row>
    <row r="71" spans="1:8" x14ac:dyDescent="0.45">
      <c r="A71">
        <v>1.3</v>
      </c>
      <c r="B71" t="s">
        <v>312</v>
      </c>
      <c r="C71">
        <v>1201</v>
      </c>
      <c r="D71">
        <v>8</v>
      </c>
      <c r="E71" t="s">
        <v>18</v>
      </c>
      <c r="F71" t="s">
        <v>331</v>
      </c>
      <c r="G71" t="s">
        <v>171</v>
      </c>
      <c r="H71">
        <v>1</v>
      </c>
    </row>
    <row r="72" spans="1:8" x14ac:dyDescent="0.45">
      <c r="A72">
        <v>1.3</v>
      </c>
      <c r="B72" t="s">
        <v>312</v>
      </c>
      <c r="C72">
        <v>1201</v>
      </c>
      <c r="D72">
        <v>9</v>
      </c>
      <c r="E72" t="s">
        <v>18</v>
      </c>
      <c r="F72" t="s">
        <v>300</v>
      </c>
      <c r="H72">
        <v>1</v>
      </c>
    </row>
    <row r="73" spans="1:8" x14ac:dyDescent="0.45">
      <c r="A73">
        <v>1.3</v>
      </c>
      <c r="B73" t="s">
        <v>312</v>
      </c>
      <c r="C73">
        <v>1201</v>
      </c>
      <c r="D73">
        <v>10</v>
      </c>
      <c r="E73" t="s">
        <v>7</v>
      </c>
      <c r="F73" t="s">
        <v>10</v>
      </c>
      <c r="H73">
        <v>1</v>
      </c>
    </row>
    <row r="74" spans="1:8" x14ac:dyDescent="0.45">
      <c r="A74">
        <v>1.3</v>
      </c>
      <c r="B74" t="s">
        <v>312</v>
      </c>
      <c r="C74">
        <v>1201</v>
      </c>
      <c r="D74">
        <v>11</v>
      </c>
      <c r="E74" t="s">
        <v>7</v>
      </c>
      <c r="F74" t="s">
        <v>10</v>
      </c>
      <c r="H74">
        <v>1</v>
      </c>
    </row>
    <row r="75" spans="1:8" x14ac:dyDescent="0.45">
      <c r="A75">
        <v>1.3</v>
      </c>
      <c r="B75" t="s">
        <v>312</v>
      </c>
      <c r="C75">
        <v>1201</v>
      </c>
      <c r="D75">
        <v>12</v>
      </c>
      <c r="E75" t="s">
        <v>7</v>
      </c>
      <c r="F75" t="s">
        <v>10</v>
      </c>
      <c r="H75">
        <v>1</v>
      </c>
    </row>
    <row r="76" spans="1:8" x14ac:dyDescent="0.45">
      <c r="A76">
        <v>1.3</v>
      </c>
      <c r="B76" t="s">
        <v>312</v>
      </c>
      <c r="C76">
        <v>1201</v>
      </c>
      <c r="D76">
        <v>13</v>
      </c>
      <c r="E76" t="s">
        <v>18</v>
      </c>
      <c r="F76" t="s">
        <v>332</v>
      </c>
      <c r="H76">
        <v>1</v>
      </c>
    </row>
    <row r="77" spans="1:8" x14ac:dyDescent="0.45">
      <c r="A77">
        <v>1.3</v>
      </c>
      <c r="B77" t="s">
        <v>312</v>
      </c>
      <c r="C77">
        <v>1201</v>
      </c>
      <c r="D77">
        <v>14</v>
      </c>
      <c r="E77" t="s">
        <v>5</v>
      </c>
      <c r="F77" t="s">
        <v>333</v>
      </c>
      <c r="G77" t="s">
        <v>171</v>
      </c>
      <c r="H77">
        <v>1</v>
      </c>
    </row>
    <row r="78" spans="1:8" x14ac:dyDescent="0.45">
      <c r="A78">
        <v>1.3</v>
      </c>
      <c r="B78" t="s">
        <v>312</v>
      </c>
      <c r="C78">
        <v>1201</v>
      </c>
      <c r="D78">
        <v>15</v>
      </c>
      <c r="E78" t="s">
        <v>5</v>
      </c>
      <c r="F78" t="s">
        <v>334</v>
      </c>
      <c r="H78">
        <v>1</v>
      </c>
    </row>
    <row r="79" spans="1:8" x14ac:dyDescent="0.45">
      <c r="A79">
        <v>1.3</v>
      </c>
      <c r="B79" t="s">
        <v>312</v>
      </c>
      <c r="C79">
        <v>1201</v>
      </c>
      <c r="D79">
        <v>16</v>
      </c>
      <c r="E79" t="s">
        <v>7</v>
      </c>
      <c r="F79" t="s">
        <v>10</v>
      </c>
      <c r="H79">
        <v>1</v>
      </c>
    </row>
    <row r="80" spans="1:8" x14ac:dyDescent="0.45">
      <c r="A80">
        <v>1.3</v>
      </c>
      <c r="B80" t="s">
        <v>312</v>
      </c>
      <c r="C80">
        <v>1201</v>
      </c>
      <c r="D80">
        <v>17</v>
      </c>
      <c r="E80" t="s">
        <v>5</v>
      </c>
      <c r="F80" t="s">
        <v>335</v>
      </c>
      <c r="H80">
        <v>1</v>
      </c>
    </row>
    <row r="81" spans="1:8" x14ac:dyDescent="0.45">
      <c r="A81">
        <v>1.3</v>
      </c>
      <c r="B81" t="s">
        <v>312</v>
      </c>
      <c r="C81">
        <v>1201</v>
      </c>
      <c r="D81">
        <v>18</v>
      </c>
      <c r="E81" t="s">
        <v>18</v>
      </c>
      <c r="F81" t="s">
        <v>336</v>
      </c>
      <c r="G81" t="s">
        <v>171</v>
      </c>
      <c r="H81">
        <v>1</v>
      </c>
    </row>
    <row r="82" spans="1:8" x14ac:dyDescent="0.45">
      <c r="A82">
        <v>1.3</v>
      </c>
      <c r="B82" t="s">
        <v>312</v>
      </c>
      <c r="C82">
        <v>1201</v>
      </c>
      <c r="D82">
        <v>19</v>
      </c>
      <c r="E82" t="s">
        <v>5</v>
      </c>
      <c r="F82" t="s">
        <v>337</v>
      </c>
      <c r="G82" t="s">
        <v>171</v>
      </c>
      <c r="H82">
        <v>1</v>
      </c>
    </row>
    <row r="83" spans="1:8" x14ac:dyDescent="0.45">
      <c r="A83">
        <v>1.3</v>
      </c>
      <c r="B83" t="s">
        <v>312</v>
      </c>
      <c r="C83">
        <v>1201</v>
      </c>
      <c r="D83">
        <v>20</v>
      </c>
      <c r="E83" t="s">
        <v>5</v>
      </c>
      <c r="F83" t="s">
        <v>338</v>
      </c>
      <c r="G83" t="s">
        <v>171</v>
      </c>
      <c r="H83">
        <v>1</v>
      </c>
    </row>
    <row r="84" spans="1:8" x14ac:dyDescent="0.45">
      <c r="A84">
        <v>1.3</v>
      </c>
      <c r="B84" t="s">
        <v>312</v>
      </c>
      <c r="C84">
        <v>1201</v>
      </c>
      <c r="D84">
        <v>21</v>
      </c>
      <c r="E84" t="s">
        <v>7</v>
      </c>
      <c r="F84" t="s">
        <v>9</v>
      </c>
      <c r="H84">
        <v>1</v>
      </c>
    </row>
    <row r="85" spans="1:8" x14ac:dyDescent="0.45">
      <c r="A85">
        <v>1.3</v>
      </c>
      <c r="B85" t="s">
        <v>312</v>
      </c>
      <c r="C85">
        <v>1201</v>
      </c>
      <c r="D85">
        <v>22</v>
      </c>
      <c r="E85" t="s">
        <v>5</v>
      </c>
      <c r="F85" t="s">
        <v>56</v>
      </c>
      <c r="H85">
        <v>1</v>
      </c>
    </row>
    <row r="86" spans="1:8" x14ac:dyDescent="0.45">
      <c r="A86">
        <v>1.3</v>
      </c>
      <c r="B86" t="s">
        <v>312</v>
      </c>
      <c r="C86">
        <v>1201</v>
      </c>
      <c r="D86">
        <v>23</v>
      </c>
      <c r="E86" t="s">
        <v>18</v>
      </c>
      <c r="F86" t="s">
        <v>339</v>
      </c>
      <c r="H86">
        <v>1</v>
      </c>
    </row>
    <row r="87" spans="1:8" x14ac:dyDescent="0.45">
      <c r="A87">
        <v>1.3</v>
      </c>
      <c r="B87" t="s">
        <v>312</v>
      </c>
      <c r="C87">
        <v>1201</v>
      </c>
      <c r="D87">
        <v>24</v>
      </c>
      <c r="E87" t="s">
        <v>7</v>
      </c>
      <c r="F87" t="s">
        <v>9</v>
      </c>
      <c r="H87">
        <v>1</v>
      </c>
    </row>
    <row r="88" spans="1:8" x14ac:dyDescent="0.45">
      <c r="A88">
        <v>1.3</v>
      </c>
      <c r="B88" t="s">
        <v>312</v>
      </c>
      <c r="C88">
        <v>1601</v>
      </c>
      <c r="D88">
        <v>1</v>
      </c>
      <c r="E88" t="s">
        <v>5</v>
      </c>
      <c r="F88" t="s">
        <v>340</v>
      </c>
      <c r="H88">
        <v>1</v>
      </c>
    </row>
    <row r="89" spans="1:8" x14ac:dyDescent="0.45">
      <c r="A89">
        <v>1.3</v>
      </c>
      <c r="B89" t="s">
        <v>312</v>
      </c>
      <c r="C89">
        <v>1601</v>
      </c>
      <c r="D89">
        <v>2</v>
      </c>
      <c r="E89" t="s">
        <v>18</v>
      </c>
      <c r="F89" t="s">
        <v>341</v>
      </c>
      <c r="H89">
        <v>1</v>
      </c>
    </row>
    <row r="90" spans="1:8" x14ac:dyDescent="0.45">
      <c r="A90">
        <v>1.3</v>
      </c>
      <c r="B90" t="s">
        <v>312</v>
      </c>
      <c r="C90">
        <v>1601</v>
      </c>
      <c r="D90">
        <v>3</v>
      </c>
      <c r="E90" t="s">
        <v>5</v>
      </c>
      <c r="F90" t="s">
        <v>342</v>
      </c>
      <c r="H90">
        <v>1</v>
      </c>
    </row>
    <row r="91" spans="1:8" x14ac:dyDescent="0.45">
      <c r="A91">
        <v>1.3</v>
      </c>
      <c r="B91" t="s">
        <v>312</v>
      </c>
      <c r="C91">
        <v>1601</v>
      </c>
      <c r="D91">
        <v>4</v>
      </c>
      <c r="E91" t="s">
        <v>7</v>
      </c>
      <c r="F91" t="s">
        <v>10</v>
      </c>
      <c r="H91">
        <v>1</v>
      </c>
    </row>
    <row r="92" spans="1:8" x14ac:dyDescent="0.45">
      <c r="A92">
        <v>1.3</v>
      </c>
      <c r="B92" t="s">
        <v>312</v>
      </c>
      <c r="C92">
        <v>1601</v>
      </c>
      <c r="D92">
        <v>5</v>
      </c>
      <c r="E92" t="s">
        <v>18</v>
      </c>
      <c r="F92" t="s">
        <v>343</v>
      </c>
      <c r="H92">
        <v>1</v>
      </c>
    </row>
    <row r="93" spans="1:8" x14ac:dyDescent="0.45">
      <c r="A93">
        <v>1.3</v>
      </c>
      <c r="B93" t="s">
        <v>312</v>
      </c>
      <c r="C93">
        <v>1601</v>
      </c>
      <c r="D93">
        <v>6</v>
      </c>
      <c r="E93" t="s">
        <v>5</v>
      </c>
      <c r="F93" t="s">
        <v>344</v>
      </c>
      <c r="G93" t="s">
        <v>171</v>
      </c>
      <c r="H93">
        <v>1</v>
      </c>
    </row>
    <row r="94" spans="1:8" x14ac:dyDescent="0.45">
      <c r="A94">
        <v>1.3</v>
      </c>
      <c r="B94" t="s">
        <v>312</v>
      </c>
      <c r="C94">
        <v>1601</v>
      </c>
      <c r="D94">
        <v>7</v>
      </c>
      <c r="E94" t="s">
        <v>7</v>
      </c>
      <c r="F94" t="s">
        <v>9</v>
      </c>
      <c r="H94">
        <v>1</v>
      </c>
    </row>
    <row r="95" spans="1:8" x14ac:dyDescent="0.45">
      <c r="A95">
        <v>1.3</v>
      </c>
      <c r="B95" t="s">
        <v>312</v>
      </c>
      <c r="C95">
        <v>1601</v>
      </c>
      <c r="D95">
        <v>8</v>
      </c>
      <c r="E95" t="s">
        <v>5</v>
      </c>
      <c r="F95" t="s">
        <v>234</v>
      </c>
      <c r="H95">
        <v>1</v>
      </c>
    </row>
    <row r="96" spans="1:8" x14ac:dyDescent="0.45">
      <c r="A96">
        <v>1.3</v>
      </c>
      <c r="B96" t="s">
        <v>312</v>
      </c>
      <c r="C96">
        <v>1601</v>
      </c>
      <c r="D96">
        <v>9</v>
      </c>
      <c r="E96" t="s">
        <v>7</v>
      </c>
      <c r="F96" t="s">
        <v>10</v>
      </c>
      <c r="H96">
        <v>1</v>
      </c>
    </row>
    <row r="97" spans="1:8" x14ac:dyDescent="0.45">
      <c r="A97">
        <v>1.3</v>
      </c>
      <c r="B97" t="s">
        <v>312</v>
      </c>
      <c r="C97">
        <v>1601</v>
      </c>
      <c r="D97">
        <v>10</v>
      </c>
      <c r="E97" t="s">
        <v>5</v>
      </c>
      <c r="F97" t="s">
        <v>345</v>
      </c>
      <c r="H97">
        <v>1</v>
      </c>
    </row>
    <row r="98" spans="1:8" x14ac:dyDescent="0.45">
      <c r="A98">
        <v>1.3</v>
      </c>
      <c r="B98" t="s">
        <v>312</v>
      </c>
      <c r="C98">
        <v>1601</v>
      </c>
      <c r="D98">
        <v>11</v>
      </c>
      <c r="E98" t="s">
        <v>7</v>
      </c>
      <c r="F98" t="s">
        <v>10</v>
      </c>
      <c r="H98">
        <v>1</v>
      </c>
    </row>
    <row r="99" spans="1:8" x14ac:dyDescent="0.45">
      <c r="A99">
        <v>1.3</v>
      </c>
      <c r="B99" t="s">
        <v>312</v>
      </c>
      <c r="C99">
        <v>1601</v>
      </c>
      <c r="D99">
        <v>12</v>
      </c>
      <c r="E99" t="s">
        <v>5</v>
      </c>
      <c r="F99" t="s">
        <v>346</v>
      </c>
      <c r="H99">
        <v>1</v>
      </c>
    </row>
    <row r="100" spans="1:8" x14ac:dyDescent="0.45">
      <c r="A100">
        <v>1.3</v>
      </c>
      <c r="B100" t="s">
        <v>312</v>
      </c>
      <c r="C100">
        <v>1601</v>
      </c>
      <c r="D100">
        <v>13</v>
      </c>
      <c r="E100" t="s">
        <v>5</v>
      </c>
      <c r="F100" t="s">
        <v>65</v>
      </c>
      <c r="H100">
        <v>1</v>
      </c>
    </row>
    <row r="101" spans="1:8" x14ac:dyDescent="0.45">
      <c r="A101">
        <v>1.3</v>
      </c>
      <c r="B101" t="s">
        <v>312</v>
      </c>
      <c r="C101">
        <v>1601</v>
      </c>
      <c r="D101">
        <v>14</v>
      </c>
      <c r="E101" t="s">
        <v>5</v>
      </c>
      <c r="F101" t="s">
        <v>347</v>
      </c>
      <c r="G101" t="s">
        <v>171</v>
      </c>
      <c r="H101">
        <v>1</v>
      </c>
    </row>
    <row r="102" spans="1:8" x14ac:dyDescent="0.45">
      <c r="A102">
        <v>1.3</v>
      </c>
      <c r="B102" t="s">
        <v>312</v>
      </c>
      <c r="C102">
        <v>1601</v>
      </c>
      <c r="D102">
        <v>15</v>
      </c>
      <c r="E102" t="s">
        <v>18</v>
      </c>
      <c r="F102" t="s">
        <v>348</v>
      </c>
      <c r="H102">
        <v>1</v>
      </c>
    </row>
    <row r="103" spans="1:8" x14ac:dyDescent="0.45">
      <c r="A103">
        <v>1.3</v>
      </c>
      <c r="B103" t="s">
        <v>312</v>
      </c>
      <c r="C103">
        <v>1601</v>
      </c>
      <c r="D103">
        <v>16</v>
      </c>
      <c r="E103" t="s">
        <v>7</v>
      </c>
      <c r="F103" t="s">
        <v>10</v>
      </c>
      <c r="H103">
        <v>1</v>
      </c>
    </row>
    <row r="104" spans="1:8" x14ac:dyDescent="0.45">
      <c r="A104">
        <v>1.3</v>
      </c>
      <c r="B104" t="s">
        <v>312</v>
      </c>
      <c r="C104">
        <v>1601</v>
      </c>
      <c r="D104">
        <v>17</v>
      </c>
      <c r="E104" t="s">
        <v>5</v>
      </c>
      <c r="F104" t="s">
        <v>349</v>
      </c>
      <c r="G104" t="s">
        <v>171</v>
      </c>
      <c r="H104">
        <v>1</v>
      </c>
    </row>
    <row r="105" spans="1:8" x14ac:dyDescent="0.45">
      <c r="A105">
        <v>1.3</v>
      </c>
      <c r="B105" t="s">
        <v>312</v>
      </c>
      <c r="C105">
        <v>1601</v>
      </c>
      <c r="D105">
        <v>18</v>
      </c>
      <c r="E105" t="s">
        <v>5</v>
      </c>
      <c r="F105" t="s">
        <v>198</v>
      </c>
      <c r="H105">
        <v>1</v>
      </c>
    </row>
    <row r="106" spans="1:8" x14ac:dyDescent="0.45">
      <c r="A106">
        <v>1.3</v>
      </c>
      <c r="B106" t="s">
        <v>312</v>
      </c>
      <c r="C106">
        <v>1601</v>
      </c>
      <c r="D106">
        <v>19</v>
      </c>
      <c r="E106" t="s">
        <v>18</v>
      </c>
      <c r="F106" t="s">
        <v>350</v>
      </c>
      <c r="G106" t="s">
        <v>171</v>
      </c>
      <c r="H106">
        <v>1</v>
      </c>
    </row>
    <row r="107" spans="1:8" x14ac:dyDescent="0.45">
      <c r="A107">
        <v>1.3</v>
      </c>
      <c r="B107" t="s">
        <v>312</v>
      </c>
      <c r="C107">
        <v>1601</v>
      </c>
      <c r="D107">
        <v>20</v>
      </c>
      <c r="E107" t="s">
        <v>5</v>
      </c>
      <c r="F107" t="s">
        <v>340</v>
      </c>
      <c r="H107">
        <v>1</v>
      </c>
    </row>
    <row r="108" spans="1:8" x14ac:dyDescent="0.45">
      <c r="A108">
        <v>1.3</v>
      </c>
      <c r="B108" t="s">
        <v>312</v>
      </c>
      <c r="C108">
        <v>1601</v>
      </c>
      <c r="D108">
        <v>21</v>
      </c>
      <c r="E108" t="s">
        <v>7</v>
      </c>
      <c r="F108" t="s">
        <v>10</v>
      </c>
      <c r="H108">
        <v>1</v>
      </c>
    </row>
    <row r="109" spans="1:8" x14ac:dyDescent="0.45">
      <c r="A109">
        <v>1.3</v>
      </c>
      <c r="B109" t="s">
        <v>312</v>
      </c>
      <c r="C109">
        <v>1601</v>
      </c>
      <c r="D109">
        <v>22</v>
      </c>
      <c r="E109" t="s">
        <v>7</v>
      </c>
      <c r="F109" t="s">
        <v>9</v>
      </c>
      <c r="H109">
        <v>1</v>
      </c>
    </row>
    <row r="110" spans="1:8" x14ac:dyDescent="0.45">
      <c r="A110">
        <v>1.3</v>
      </c>
      <c r="B110" t="s">
        <v>570</v>
      </c>
      <c r="C110">
        <v>1601</v>
      </c>
      <c r="D110">
        <v>1</v>
      </c>
      <c r="E110" t="s">
        <v>5</v>
      </c>
      <c r="F110" t="s">
        <v>571</v>
      </c>
      <c r="H110">
        <v>1</v>
      </c>
    </row>
    <row r="111" spans="1:8" x14ac:dyDescent="0.45">
      <c r="A111">
        <v>1.3</v>
      </c>
      <c r="B111" t="s">
        <v>570</v>
      </c>
      <c r="C111">
        <v>1601</v>
      </c>
      <c r="D111">
        <v>2</v>
      </c>
      <c r="E111" t="s">
        <v>7</v>
      </c>
      <c r="F111" t="s">
        <v>11</v>
      </c>
      <c r="H111">
        <v>1</v>
      </c>
    </row>
    <row r="112" spans="1:8" x14ac:dyDescent="0.45">
      <c r="A112">
        <v>1.3</v>
      </c>
      <c r="B112" t="s">
        <v>570</v>
      </c>
      <c r="C112">
        <v>1601</v>
      </c>
      <c r="D112">
        <v>3</v>
      </c>
      <c r="E112" t="s">
        <v>7</v>
      </c>
      <c r="F112" t="s">
        <v>9</v>
      </c>
      <c r="H112">
        <v>1</v>
      </c>
    </row>
    <row r="113" spans="1:8" x14ac:dyDescent="0.45">
      <c r="A113">
        <v>1.3</v>
      </c>
      <c r="B113" t="s">
        <v>570</v>
      </c>
      <c r="C113">
        <v>1601</v>
      </c>
      <c r="D113">
        <v>4</v>
      </c>
      <c r="E113" t="s">
        <v>18</v>
      </c>
      <c r="F113" t="s">
        <v>340</v>
      </c>
      <c r="H113">
        <v>1</v>
      </c>
    </row>
    <row r="114" spans="1:8" x14ac:dyDescent="0.45">
      <c r="A114">
        <v>1.3</v>
      </c>
      <c r="B114" t="s">
        <v>570</v>
      </c>
      <c r="C114">
        <v>1601</v>
      </c>
      <c r="D114">
        <v>5</v>
      </c>
      <c r="E114" t="s">
        <v>7</v>
      </c>
      <c r="F114" t="s">
        <v>9</v>
      </c>
      <c r="H114">
        <v>1</v>
      </c>
    </row>
    <row r="115" spans="1:8" x14ac:dyDescent="0.45">
      <c r="A115">
        <v>1.3</v>
      </c>
      <c r="B115" t="s">
        <v>570</v>
      </c>
      <c r="C115">
        <v>1601</v>
      </c>
      <c r="D115">
        <v>6</v>
      </c>
      <c r="E115" t="s">
        <v>7</v>
      </c>
      <c r="F115" t="s">
        <v>11</v>
      </c>
      <c r="H115">
        <v>1</v>
      </c>
    </row>
    <row r="116" spans="1:8" x14ac:dyDescent="0.45">
      <c r="A116">
        <v>1.3</v>
      </c>
      <c r="B116" t="s">
        <v>570</v>
      </c>
      <c r="C116">
        <v>1601</v>
      </c>
      <c r="D116">
        <v>7</v>
      </c>
      <c r="E116" t="s">
        <v>7</v>
      </c>
      <c r="F116" t="s">
        <v>11</v>
      </c>
      <c r="H116">
        <v>1</v>
      </c>
    </row>
    <row r="117" spans="1:8" x14ac:dyDescent="0.45">
      <c r="A117">
        <v>1.3</v>
      </c>
      <c r="B117" t="s">
        <v>570</v>
      </c>
      <c r="C117">
        <v>1601</v>
      </c>
      <c r="D117">
        <v>8</v>
      </c>
      <c r="E117" t="s">
        <v>5</v>
      </c>
      <c r="F117" t="s">
        <v>572</v>
      </c>
      <c r="H117">
        <v>1</v>
      </c>
    </row>
    <row r="118" spans="1:8" x14ac:dyDescent="0.45">
      <c r="A118">
        <v>1.3</v>
      </c>
      <c r="B118" t="s">
        <v>570</v>
      </c>
      <c r="C118">
        <v>1601</v>
      </c>
      <c r="D118">
        <v>9</v>
      </c>
      <c r="E118" t="s">
        <v>7</v>
      </c>
      <c r="F118" t="s">
        <v>11</v>
      </c>
      <c r="H118">
        <v>1</v>
      </c>
    </row>
    <row r="119" spans="1:8" x14ac:dyDescent="0.45">
      <c r="A119">
        <v>1.3</v>
      </c>
      <c r="B119" t="s">
        <v>570</v>
      </c>
      <c r="C119">
        <v>1601</v>
      </c>
      <c r="D119">
        <v>10</v>
      </c>
      <c r="E119" t="s">
        <v>5</v>
      </c>
      <c r="F119" t="s">
        <v>62</v>
      </c>
      <c r="H119">
        <v>1</v>
      </c>
    </row>
    <row r="120" spans="1:8" x14ac:dyDescent="0.45">
      <c r="A120">
        <v>1.3</v>
      </c>
      <c r="B120" t="s">
        <v>570</v>
      </c>
      <c r="C120">
        <v>1601</v>
      </c>
      <c r="D120">
        <v>11</v>
      </c>
      <c r="E120" t="s">
        <v>5</v>
      </c>
      <c r="F120" t="s">
        <v>307</v>
      </c>
      <c r="H120">
        <v>1</v>
      </c>
    </row>
    <row r="121" spans="1:8" x14ac:dyDescent="0.45">
      <c r="A121">
        <v>1.3</v>
      </c>
      <c r="B121" t="s">
        <v>570</v>
      </c>
      <c r="C121">
        <v>1601</v>
      </c>
      <c r="D121">
        <v>12</v>
      </c>
      <c r="E121" t="s">
        <v>18</v>
      </c>
      <c r="F121" t="s">
        <v>574</v>
      </c>
      <c r="H121">
        <v>1</v>
      </c>
    </row>
    <row r="122" spans="1:8" x14ac:dyDescent="0.45">
      <c r="A122">
        <v>1.3</v>
      </c>
      <c r="B122" t="s">
        <v>570</v>
      </c>
      <c r="C122">
        <v>1601</v>
      </c>
      <c r="D122">
        <v>13</v>
      </c>
      <c r="E122" t="s">
        <v>5</v>
      </c>
      <c r="F122" t="s">
        <v>102</v>
      </c>
      <c r="H122">
        <v>1</v>
      </c>
    </row>
    <row r="123" spans="1:8" x14ac:dyDescent="0.45">
      <c r="A123">
        <v>1.3</v>
      </c>
      <c r="B123" t="s">
        <v>570</v>
      </c>
      <c r="C123">
        <v>1601</v>
      </c>
      <c r="D123">
        <v>14</v>
      </c>
      <c r="E123" t="s">
        <v>18</v>
      </c>
      <c r="F123" t="s">
        <v>65</v>
      </c>
      <c r="H123">
        <v>1</v>
      </c>
    </row>
    <row r="124" spans="1:8" x14ac:dyDescent="0.45">
      <c r="A124">
        <v>1.3</v>
      </c>
      <c r="B124" t="s">
        <v>570</v>
      </c>
      <c r="C124">
        <v>1601</v>
      </c>
      <c r="D124">
        <v>15</v>
      </c>
      <c r="E124" t="s">
        <v>5</v>
      </c>
      <c r="F124" t="s">
        <v>63</v>
      </c>
      <c r="G124" t="s">
        <v>171</v>
      </c>
      <c r="H124">
        <v>1</v>
      </c>
    </row>
    <row r="125" spans="1:8" x14ac:dyDescent="0.45">
      <c r="A125">
        <v>1.3</v>
      </c>
      <c r="B125" t="s">
        <v>570</v>
      </c>
      <c r="C125">
        <v>1601</v>
      </c>
      <c r="D125">
        <v>16</v>
      </c>
      <c r="E125" t="s">
        <v>18</v>
      </c>
      <c r="F125" t="s">
        <v>573</v>
      </c>
      <c r="H125">
        <v>1</v>
      </c>
    </row>
    <row r="126" spans="1:8" x14ac:dyDescent="0.45">
      <c r="A126">
        <v>1.3</v>
      </c>
      <c r="B126" t="s">
        <v>570</v>
      </c>
      <c r="C126">
        <v>1601</v>
      </c>
      <c r="D126">
        <v>17</v>
      </c>
      <c r="E126" t="s">
        <v>7</v>
      </c>
      <c r="F126" t="s">
        <v>10</v>
      </c>
      <c r="H126">
        <v>1</v>
      </c>
    </row>
    <row r="127" spans="1:8" x14ac:dyDescent="0.45">
      <c r="A127">
        <v>1.3</v>
      </c>
      <c r="B127" t="s">
        <v>570</v>
      </c>
      <c r="C127">
        <v>1601</v>
      </c>
      <c r="D127">
        <v>18</v>
      </c>
      <c r="E127" t="s">
        <v>7</v>
      </c>
      <c r="F127" t="s">
        <v>11</v>
      </c>
      <c r="H127">
        <v>1</v>
      </c>
    </row>
    <row r="128" spans="1:8" x14ac:dyDescent="0.45">
      <c r="A128">
        <v>1.3</v>
      </c>
      <c r="B128" t="s">
        <v>570</v>
      </c>
      <c r="C128">
        <v>1201</v>
      </c>
      <c r="D128">
        <v>1</v>
      </c>
      <c r="E128" t="s">
        <v>7</v>
      </c>
      <c r="F128" t="s">
        <v>11</v>
      </c>
      <c r="H128">
        <v>1</v>
      </c>
    </row>
    <row r="129" spans="1:8" x14ac:dyDescent="0.45">
      <c r="A129">
        <v>1.3</v>
      </c>
      <c r="B129" t="s">
        <v>570</v>
      </c>
      <c r="C129">
        <v>1201</v>
      </c>
      <c r="D129">
        <v>2</v>
      </c>
      <c r="E129" t="s">
        <v>7</v>
      </c>
      <c r="F129" t="s">
        <v>9</v>
      </c>
      <c r="H129">
        <v>1</v>
      </c>
    </row>
    <row r="130" spans="1:8" x14ac:dyDescent="0.45">
      <c r="A130">
        <v>1.3</v>
      </c>
      <c r="B130" t="s">
        <v>570</v>
      </c>
      <c r="C130">
        <v>1201</v>
      </c>
      <c r="D130">
        <v>3</v>
      </c>
      <c r="E130" t="s">
        <v>7</v>
      </c>
      <c r="F130" t="s">
        <v>9</v>
      </c>
      <c r="H130">
        <v>1</v>
      </c>
    </row>
    <row r="131" spans="1:8" x14ac:dyDescent="0.45">
      <c r="A131">
        <v>1.3</v>
      </c>
      <c r="B131" t="s">
        <v>570</v>
      </c>
      <c r="C131">
        <v>1201</v>
      </c>
      <c r="D131">
        <v>4</v>
      </c>
      <c r="E131" t="s">
        <v>5</v>
      </c>
      <c r="F131" t="s">
        <v>49</v>
      </c>
      <c r="H131">
        <v>1</v>
      </c>
    </row>
    <row r="132" spans="1:8" x14ac:dyDescent="0.45">
      <c r="A132">
        <v>1.3</v>
      </c>
      <c r="B132" t="s">
        <v>570</v>
      </c>
      <c r="C132">
        <v>1201</v>
      </c>
      <c r="D132">
        <v>5</v>
      </c>
      <c r="E132" t="s">
        <v>7</v>
      </c>
      <c r="F132" t="s">
        <v>10</v>
      </c>
      <c r="H132">
        <v>1</v>
      </c>
    </row>
    <row r="133" spans="1:8" x14ac:dyDescent="0.45">
      <c r="A133">
        <v>1.3</v>
      </c>
      <c r="B133" t="s">
        <v>570</v>
      </c>
      <c r="C133">
        <v>1201</v>
      </c>
      <c r="D133">
        <v>6</v>
      </c>
      <c r="E133" t="s">
        <v>7</v>
      </c>
      <c r="F133" t="s">
        <v>11</v>
      </c>
      <c r="H133">
        <v>1</v>
      </c>
    </row>
    <row r="134" spans="1:8" x14ac:dyDescent="0.45">
      <c r="A134">
        <v>1.3</v>
      </c>
      <c r="B134" t="s">
        <v>570</v>
      </c>
      <c r="C134">
        <v>1201</v>
      </c>
      <c r="D134">
        <v>7</v>
      </c>
      <c r="E134" t="s">
        <v>18</v>
      </c>
      <c r="F134" t="s">
        <v>579</v>
      </c>
      <c r="H134">
        <v>1</v>
      </c>
    </row>
    <row r="135" spans="1:8" x14ac:dyDescent="0.45">
      <c r="A135">
        <v>1.3</v>
      </c>
      <c r="B135" t="s">
        <v>570</v>
      </c>
      <c r="C135">
        <v>1201</v>
      </c>
      <c r="D135">
        <v>8</v>
      </c>
      <c r="E135" t="s">
        <v>7</v>
      </c>
      <c r="F135" t="s">
        <v>10</v>
      </c>
      <c r="H135">
        <v>1</v>
      </c>
    </row>
    <row r="136" spans="1:8" x14ac:dyDescent="0.45">
      <c r="A136">
        <v>1.3</v>
      </c>
      <c r="B136" t="s">
        <v>570</v>
      </c>
      <c r="C136">
        <v>1201</v>
      </c>
      <c r="D136">
        <v>9</v>
      </c>
      <c r="E136" t="s">
        <v>5</v>
      </c>
      <c r="F136" t="s">
        <v>576</v>
      </c>
      <c r="H136">
        <v>1</v>
      </c>
    </row>
    <row r="137" spans="1:8" x14ac:dyDescent="0.45">
      <c r="A137">
        <v>1.3</v>
      </c>
      <c r="B137" t="s">
        <v>570</v>
      </c>
      <c r="C137">
        <v>1201</v>
      </c>
      <c r="D137">
        <v>10</v>
      </c>
      <c r="E137" t="s">
        <v>5</v>
      </c>
      <c r="F137" t="s">
        <v>330</v>
      </c>
      <c r="G137" t="s">
        <v>171</v>
      </c>
      <c r="H137">
        <v>1</v>
      </c>
    </row>
    <row r="138" spans="1:8" x14ac:dyDescent="0.45">
      <c r="A138">
        <v>1.3</v>
      </c>
      <c r="B138" t="s">
        <v>570</v>
      </c>
      <c r="C138">
        <v>1201</v>
      </c>
      <c r="D138">
        <v>11</v>
      </c>
      <c r="E138" t="s">
        <v>5</v>
      </c>
      <c r="F138" t="s">
        <v>493</v>
      </c>
      <c r="H138">
        <v>1</v>
      </c>
    </row>
    <row r="139" spans="1:8" x14ac:dyDescent="0.45">
      <c r="A139">
        <v>1.3</v>
      </c>
      <c r="B139" t="s">
        <v>570</v>
      </c>
      <c r="C139">
        <v>1201</v>
      </c>
      <c r="D139">
        <v>12</v>
      </c>
      <c r="E139" t="s">
        <v>7</v>
      </c>
      <c r="F139" t="s">
        <v>10</v>
      </c>
      <c r="H139">
        <v>1</v>
      </c>
    </row>
    <row r="140" spans="1:8" x14ac:dyDescent="0.45">
      <c r="A140">
        <v>1.3</v>
      </c>
      <c r="B140" t="s">
        <v>570</v>
      </c>
      <c r="C140">
        <v>1201</v>
      </c>
      <c r="D140">
        <v>13</v>
      </c>
      <c r="E140" t="s">
        <v>5</v>
      </c>
      <c r="F140" t="s">
        <v>578</v>
      </c>
      <c r="H140">
        <v>1</v>
      </c>
    </row>
    <row r="141" spans="1:8" x14ac:dyDescent="0.45">
      <c r="A141">
        <v>1.3</v>
      </c>
      <c r="B141" t="s">
        <v>570</v>
      </c>
      <c r="C141">
        <v>1201</v>
      </c>
      <c r="D141">
        <v>14</v>
      </c>
      <c r="E141" t="s">
        <v>5</v>
      </c>
      <c r="F141" t="s">
        <v>575</v>
      </c>
      <c r="G141" t="s">
        <v>171</v>
      </c>
      <c r="H141">
        <v>1</v>
      </c>
    </row>
    <row r="142" spans="1:8" x14ac:dyDescent="0.45">
      <c r="A142">
        <v>1.3</v>
      </c>
      <c r="B142" t="s">
        <v>570</v>
      </c>
      <c r="C142">
        <v>1201</v>
      </c>
      <c r="D142">
        <v>15</v>
      </c>
      <c r="E142" t="s">
        <v>18</v>
      </c>
      <c r="F142" t="s">
        <v>577</v>
      </c>
      <c r="H142">
        <v>1</v>
      </c>
    </row>
    <row r="143" spans="1:8" x14ac:dyDescent="0.45">
      <c r="A143">
        <v>1.3</v>
      </c>
      <c r="B143" t="s">
        <v>570</v>
      </c>
      <c r="C143">
        <v>1201</v>
      </c>
      <c r="D143">
        <v>16</v>
      </c>
      <c r="E143" t="s">
        <v>5</v>
      </c>
      <c r="F143" t="s">
        <v>580</v>
      </c>
      <c r="G143" t="s">
        <v>171</v>
      </c>
      <c r="H143">
        <v>1</v>
      </c>
    </row>
    <row r="144" spans="1:8" x14ac:dyDescent="0.45">
      <c r="A144">
        <v>1.3</v>
      </c>
      <c r="B144" t="s">
        <v>570</v>
      </c>
      <c r="C144">
        <v>1201</v>
      </c>
      <c r="D144">
        <v>17</v>
      </c>
      <c r="E144" t="s">
        <v>7</v>
      </c>
      <c r="F144" t="s">
        <v>10</v>
      </c>
      <c r="H144">
        <v>1</v>
      </c>
    </row>
    <row r="145" spans="1:8" x14ac:dyDescent="0.45">
      <c r="A145">
        <v>1.3</v>
      </c>
      <c r="B145" t="s">
        <v>570</v>
      </c>
      <c r="C145">
        <v>1201</v>
      </c>
      <c r="D145">
        <v>18</v>
      </c>
      <c r="E145" t="s">
        <v>7</v>
      </c>
      <c r="F145" t="s">
        <v>11</v>
      </c>
      <c r="H145">
        <v>1</v>
      </c>
    </row>
    <row r="146" spans="1:8" x14ac:dyDescent="0.45">
      <c r="A146">
        <v>1.3</v>
      </c>
      <c r="B146" t="s">
        <v>570</v>
      </c>
      <c r="C146">
        <v>1201</v>
      </c>
      <c r="D146">
        <v>19</v>
      </c>
      <c r="E146" t="s">
        <v>18</v>
      </c>
      <c r="F146" t="s">
        <v>581</v>
      </c>
      <c r="H146">
        <v>1</v>
      </c>
    </row>
    <row r="147" spans="1:8" x14ac:dyDescent="0.45">
      <c r="A147">
        <v>1.3</v>
      </c>
      <c r="B147" t="s">
        <v>570</v>
      </c>
      <c r="C147">
        <v>1201</v>
      </c>
      <c r="D147">
        <v>20</v>
      </c>
      <c r="E147" t="s">
        <v>7</v>
      </c>
      <c r="F147" t="s">
        <v>11</v>
      </c>
      <c r="H147">
        <v>1</v>
      </c>
    </row>
    <row r="148" spans="1:8" x14ac:dyDescent="0.45">
      <c r="A148">
        <v>1.3</v>
      </c>
      <c r="B148" t="s">
        <v>570</v>
      </c>
      <c r="C148">
        <v>1201</v>
      </c>
      <c r="D148">
        <v>21</v>
      </c>
      <c r="E148" t="s">
        <v>7</v>
      </c>
      <c r="F148" t="s">
        <v>10</v>
      </c>
      <c r="H148">
        <v>1</v>
      </c>
    </row>
    <row r="149" spans="1:8" x14ac:dyDescent="0.45">
      <c r="A149">
        <v>1.3</v>
      </c>
      <c r="B149" t="s">
        <v>570</v>
      </c>
      <c r="C149">
        <v>1201</v>
      </c>
      <c r="D149">
        <v>22</v>
      </c>
      <c r="E149" t="s">
        <v>7</v>
      </c>
      <c r="F149" t="s">
        <v>10</v>
      </c>
      <c r="H149">
        <v>1</v>
      </c>
    </row>
    <row r="150" spans="1:8" x14ac:dyDescent="0.45">
      <c r="A150">
        <v>1.3</v>
      </c>
      <c r="B150" t="s">
        <v>570</v>
      </c>
      <c r="C150">
        <v>1201</v>
      </c>
      <c r="D150">
        <v>23</v>
      </c>
      <c r="E150" t="s">
        <v>18</v>
      </c>
      <c r="F150" t="s">
        <v>582</v>
      </c>
      <c r="G150" t="s">
        <v>171</v>
      </c>
      <c r="H150">
        <v>1</v>
      </c>
    </row>
    <row r="151" spans="1:8" x14ac:dyDescent="0.45">
      <c r="A151">
        <v>1.3</v>
      </c>
      <c r="B151" t="s">
        <v>570</v>
      </c>
      <c r="C151">
        <v>801</v>
      </c>
      <c r="D151">
        <v>1</v>
      </c>
      <c r="E151" t="s">
        <v>5</v>
      </c>
      <c r="F151" t="s">
        <v>218</v>
      </c>
      <c r="H151">
        <v>1</v>
      </c>
    </row>
    <row r="152" spans="1:8" x14ac:dyDescent="0.45">
      <c r="A152">
        <v>1.3</v>
      </c>
      <c r="B152" t="s">
        <v>570</v>
      </c>
      <c r="C152">
        <v>801</v>
      </c>
      <c r="D152">
        <v>2</v>
      </c>
      <c r="E152" t="s">
        <v>5</v>
      </c>
      <c r="F152" t="s">
        <v>583</v>
      </c>
      <c r="H152">
        <v>1</v>
      </c>
    </row>
    <row r="153" spans="1:8" x14ac:dyDescent="0.45">
      <c r="A153">
        <v>1.3</v>
      </c>
      <c r="B153" t="s">
        <v>570</v>
      </c>
      <c r="C153">
        <v>801</v>
      </c>
      <c r="D153">
        <v>3</v>
      </c>
      <c r="E153" t="s">
        <v>5</v>
      </c>
      <c r="F153" t="s">
        <v>360</v>
      </c>
      <c r="H153">
        <v>1</v>
      </c>
    </row>
    <row r="154" spans="1:8" x14ac:dyDescent="0.45">
      <c r="A154">
        <v>1.3</v>
      </c>
      <c r="B154" t="s">
        <v>570</v>
      </c>
      <c r="C154">
        <v>801</v>
      </c>
      <c r="D154">
        <v>4</v>
      </c>
      <c r="E154" t="s">
        <v>5</v>
      </c>
      <c r="F154" t="s">
        <v>584</v>
      </c>
      <c r="H154">
        <v>1</v>
      </c>
    </row>
    <row r="155" spans="1:8" x14ac:dyDescent="0.45">
      <c r="A155">
        <v>1.3</v>
      </c>
      <c r="B155" t="s">
        <v>570</v>
      </c>
      <c r="C155">
        <v>801</v>
      </c>
      <c r="D155">
        <v>5</v>
      </c>
      <c r="E155" t="s">
        <v>5</v>
      </c>
      <c r="F155" t="s">
        <v>279</v>
      </c>
      <c r="H155">
        <v>1</v>
      </c>
    </row>
    <row r="156" spans="1:8" x14ac:dyDescent="0.45">
      <c r="A156">
        <v>1.3</v>
      </c>
      <c r="B156" t="s">
        <v>570</v>
      </c>
      <c r="C156">
        <v>801</v>
      </c>
      <c r="D156">
        <v>6</v>
      </c>
      <c r="E156" t="s">
        <v>5</v>
      </c>
      <c r="F156" t="s">
        <v>585</v>
      </c>
      <c r="H156">
        <v>1</v>
      </c>
    </row>
    <row r="157" spans="1:8" x14ac:dyDescent="0.45">
      <c r="A157">
        <v>1.3</v>
      </c>
      <c r="B157" t="s">
        <v>570</v>
      </c>
      <c r="C157">
        <v>801</v>
      </c>
      <c r="D157">
        <v>7</v>
      </c>
      <c r="E157" t="s">
        <v>5</v>
      </c>
      <c r="F157" t="s">
        <v>496</v>
      </c>
      <c r="H157">
        <v>1</v>
      </c>
    </row>
    <row r="158" spans="1:8" x14ac:dyDescent="0.45">
      <c r="A158">
        <v>1.3</v>
      </c>
      <c r="B158" t="s">
        <v>570</v>
      </c>
      <c r="C158">
        <v>801</v>
      </c>
      <c r="D158">
        <v>8</v>
      </c>
      <c r="E158" t="s">
        <v>5</v>
      </c>
      <c r="F158" t="s">
        <v>557</v>
      </c>
      <c r="H158">
        <v>1</v>
      </c>
    </row>
    <row r="159" spans="1:8" x14ac:dyDescent="0.45">
      <c r="A159">
        <v>1.3</v>
      </c>
      <c r="B159" t="s">
        <v>570</v>
      </c>
      <c r="C159">
        <v>801</v>
      </c>
      <c r="D159">
        <v>9</v>
      </c>
      <c r="E159" t="s">
        <v>5</v>
      </c>
      <c r="F159" t="s">
        <v>172</v>
      </c>
      <c r="H159">
        <v>1</v>
      </c>
    </row>
    <row r="160" spans="1:8" x14ac:dyDescent="0.45">
      <c r="A160">
        <v>1.3</v>
      </c>
      <c r="B160" t="s">
        <v>570</v>
      </c>
      <c r="C160">
        <v>801</v>
      </c>
      <c r="D160">
        <v>10</v>
      </c>
      <c r="E160" t="s">
        <v>5</v>
      </c>
      <c r="F160" t="s">
        <v>166</v>
      </c>
      <c r="H160">
        <v>1</v>
      </c>
    </row>
    <row r="161" spans="1:8" x14ac:dyDescent="0.45">
      <c r="A161">
        <v>1.3</v>
      </c>
      <c r="B161" t="s">
        <v>570</v>
      </c>
      <c r="C161">
        <v>801</v>
      </c>
      <c r="D161">
        <v>11</v>
      </c>
      <c r="E161" t="s">
        <v>18</v>
      </c>
      <c r="F161" t="s">
        <v>587</v>
      </c>
      <c r="H161">
        <v>1</v>
      </c>
    </row>
    <row r="162" spans="1:8" x14ac:dyDescent="0.45">
      <c r="A162">
        <v>1.3</v>
      </c>
      <c r="B162" t="s">
        <v>570</v>
      </c>
      <c r="C162">
        <v>801</v>
      </c>
      <c r="D162">
        <v>12</v>
      </c>
      <c r="E162" t="s">
        <v>7</v>
      </c>
      <c r="F162" t="s">
        <v>9</v>
      </c>
      <c r="H162">
        <v>1</v>
      </c>
    </row>
    <row r="163" spans="1:8" x14ac:dyDescent="0.45">
      <c r="A163">
        <v>1.3</v>
      </c>
      <c r="B163" t="s">
        <v>570</v>
      </c>
      <c r="C163">
        <v>801</v>
      </c>
      <c r="D163">
        <v>13</v>
      </c>
      <c r="E163" t="s">
        <v>7</v>
      </c>
      <c r="F163" t="s">
        <v>10</v>
      </c>
      <c r="H163">
        <v>1</v>
      </c>
    </row>
    <row r="164" spans="1:8" x14ac:dyDescent="0.45">
      <c r="A164">
        <v>1.3</v>
      </c>
      <c r="B164" t="s">
        <v>570</v>
      </c>
      <c r="C164">
        <v>801</v>
      </c>
      <c r="D164">
        <v>14</v>
      </c>
      <c r="E164" t="s">
        <v>5</v>
      </c>
      <c r="F164" t="s">
        <v>586</v>
      </c>
      <c r="G164" t="s">
        <v>171</v>
      </c>
      <c r="H164">
        <v>1</v>
      </c>
    </row>
    <row r="165" spans="1:8" x14ac:dyDescent="0.45">
      <c r="A165">
        <v>1.3</v>
      </c>
      <c r="B165" t="s">
        <v>570</v>
      </c>
      <c r="C165">
        <v>801</v>
      </c>
      <c r="D165">
        <v>15</v>
      </c>
      <c r="E165" t="s">
        <v>5</v>
      </c>
      <c r="F165" t="s">
        <v>130</v>
      </c>
      <c r="H165">
        <v>1</v>
      </c>
    </row>
    <row r="166" spans="1:8" x14ac:dyDescent="0.45">
      <c r="A166">
        <v>1.3</v>
      </c>
      <c r="B166" t="s">
        <v>570</v>
      </c>
      <c r="C166">
        <v>801</v>
      </c>
      <c r="D166">
        <v>16</v>
      </c>
      <c r="E166" t="s">
        <v>5</v>
      </c>
      <c r="F166" t="s">
        <v>252</v>
      </c>
      <c r="H166">
        <v>1</v>
      </c>
    </row>
    <row r="167" spans="1:8" x14ac:dyDescent="0.45">
      <c r="A167">
        <v>1.3</v>
      </c>
      <c r="B167" t="s">
        <v>570</v>
      </c>
      <c r="C167">
        <v>801</v>
      </c>
      <c r="D167">
        <v>17</v>
      </c>
      <c r="E167" t="s">
        <v>7</v>
      </c>
      <c r="F167" t="s">
        <v>9</v>
      </c>
      <c r="H167">
        <v>1</v>
      </c>
    </row>
    <row r="168" spans="1:8" x14ac:dyDescent="0.45">
      <c r="A168">
        <v>1.3</v>
      </c>
      <c r="B168" t="s">
        <v>570</v>
      </c>
      <c r="C168">
        <v>801</v>
      </c>
      <c r="D168">
        <v>18</v>
      </c>
      <c r="E168" t="s">
        <v>7</v>
      </c>
      <c r="F168" t="s">
        <v>9</v>
      </c>
      <c r="H168">
        <v>1</v>
      </c>
    </row>
    <row r="169" spans="1:8" x14ac:dyDescent="0.45">
      <c r="A169">
        <v>1.3</v>
      </c>
      <c r="B169" t="s">
        <v>570</v>
      </c>
      <c r="C169">
        <v>801</v>
      </c>
      <c r="D169">
        <v>19</v>
      </c>
      <c r="E169" t="s">
        <v>7</v>
      </c>
      <c r="F169" t="s">
        <v>10</v>
      </c>
      <c r="H169">
        <v>1</v>
      </c>
    </row>
    <row r="170" spans="1:8" x14ac:dyDescent="0.45">
      <c r="A170">
        <v>1.3</v>
      </c>
      <c r="B170" t="s">
        <v>570</v>
      </c>
      <c r="C170">
        <v>801</v>
      </c>
      <c r="D170">
        <v>20</v>
      </c>
      <c r="E170" t="s">
        <v>7</v>
      </c>
      <c r="F170" t="s">
        <v>10</v>
      </c>
      <c r="H170">
        <v>1</v>
      </c>
    </row>
    <row r="171" spans="1:8" x14ac:dyDescent="0.45">
      <c r="A171">
        <v>1.3</v>
      </c>
      <c r="B171" t="s">
        <v>570</v>
      </c>
      <c r="C171">
        <v>801</v>
      </c>
      <c r="D171">
        <v>21</v>
      </c>
      <c r="E171" t="s">
        <v>7</v>
      </c>
      <c r="F171" t="s">
        <v>10</v>
      </c>
      <c r="H171">
        <v>1</v>
      </c>
    </row>
    <row r="172" spans="1:8" x14ac:dyDescent="0.45">
      <c r="A172">
        <v>1.3</v>
      </c>
      <c r="B172" t="s">
        <v>570</v>
      </c>
      <c r="C172">
        <v>801</v>
      </c>
      <c r="D172">
        <v>22</v>
      </c>
      <c r="E172" t="s">
        <v>5</v>
      </c>
      <c r="F172" t="s">
        <v>249</v>
      </c>
      <c r="H172">
        <v>1</v>
      </c>
    </row>
    <row r="173" spans="1:8" x14ac:dyDescent="0.45">
      <c r="A173">
        <v>1.3</v>
      </c>
      <c r="B173" t="s">
        <v>570</v>
      </c>
      <c r="C173">
        <v>801</v>
      </c>
      <c r="D173">
        <v>23</v>
      </c>
      <c r="E173" t="s">
        <v>5</v>
      </c>
      <c r="F173" t="s">
        <v>501</v>
      </c>
      <c r="G173" t="s">
        <v>171</v>
      </c>
      <c r="H173">
        <v>1</v>
      </c>
    </row>
    <row r="174" spans="1:8" x14ac:dyDescent="0.45">
      <c r="A174">
        <v>1.3</v>
      </c>
      <c r="B174" t="s">
        <v>570</v>
      </c>
      <c r="C174">
        <v>401</v>
      </c>
      <c r="D174">
        <v>1</v>
      </c>
      <c r="E174" t="s">
        <v>5</v>
      </c>
      <c r="F174" t="s">
        <v>119</v>
      </c>
      <c r="G174" t="s">
        <v>171</v>
      </c>
      <c r="H174">
        <v>1</v>
      </c>
    </row>
    <row r="175" spans="1:8" x14ac:dyDescent="0.45">
      <c r="A175">
        <v>1.3</v>
      </c>
      <c r="B175" t="s">
        <v>570</v>
      </c>
      <c r="C175">
        <v>401</v>
      </c>
      <c r="D175">
        <v>2</v>
      </c>
      <c r="E175" t="s">
        <v>5</v>
      </c>
      <c r="F175" t="s">
        <v>119</v>
      </c>
      <c r="G175" t="s">
        <v>171</v>
      </c>
      <c r="H175">
        <v>1</v>
      </c>
    </row>
    <row r="176" spans="1:8" x14ac:dyDescent="0.45">
      <c r="A176">
        <v>1.3</v>
      </c>
      <c r="B176" t="s">
        <v>570</v>
      </c>
      <c r="C176">
        <v>401</v>
      </c>
      <c r="D176">
        <v>3</v>
      </c>
      <c r="E176" t="s">
        <v>5</v>
      </c>
      <c r="F176" t="s">
        <v>244</v>
      </c>
      <c r="H176">
        <v>1</v>
      </c>
    </row>
    <row r="177" spans="1:8" x14ac:dyDescent="0.45">
      <c r="A177">
        <v>1.3</v>
      </c>
      <c r="B177" t="s">
        <v>570</v>
      </c>
      <c r="C177">
        <v>401</v>
      </c>
      <c r="D177" t="s">
        <v>588</v>
      </c>
      <c r="H177">
        <v>1</v>
      </c>
    </row>
    <row r="178" spans="1:8" x14ac:dyDescent="0.45">
      <c r="A178">
        <v>1.3</v>
      </c>
      <c r="H178">
        <v>1</v>
      </c>
    </row>
    <row r="179" spans="1:8" x14ac:dyDescent="0.45">
      <c r="A179">
        <v>1.3</v>
      </c>
      <c r="H179">
        <v>1</v>
      </c>
    </row>
    <row r="180" spans="1:8" x14ac:dyDescent="0.45">
      <c r="A180">
        <v>1.3</v>
      </c>
      <c r="H180">
        <v>1</v>
      </c>
    </row>
    <row r="181" spans="1:8" x14ac:dyDescent="0.45">
      <c r="A181">
        <v>1.3</v>
      </c>
      <c r="H181">
        <v>1</v>
      </c>
    </row>
    <row r="182" spans="1:8" x14ac:dyDescent="0.45">
      <c r="A182">
        <v>1.3</v>
      </c>
      <c r="H182">
        <v>1</v>
      </c>
    </row>
    <row r="183" spans="1:8" x14ac:dyDescent="0.45">
      <c r="A183">
        <v>1.3</v>
      </c>
      <c r="H183">
        <v>1</v>
      </c>
    </row>
    <row r="184" spans="1:8" x14ac:dyDescent="0.45">
      <c r="A184">
        <v>1.3</v>
      </c>
      <c r="H184">
        <v>1</v>
      </c>
    </row>
    <row r="185" spans="1:8" x14ac:dyDescent="0.45">
      <c r="A185">
        <v>1.3</v>
      </c>
      <c r="H185">
        <v>1</v>
      </c>
    </row>
    <row r="186" spans="1:8" x14ac:dyDescent="0.45">
      <c r="A186">
        <v>1.3</v>
      </c>
      <c r="H186">
        <v>1</v>
      </c>
    </row>
    <row r="187" spans="1:8" x14ac:dyDescent="0.45">
      <c r="A187">
        <v>1.3</v>
      </c>
      <c r="H187">
        <v>1</v>
      </c>
    </row>
    <row r="188" spans="1:8" x14ac:dyDescent="0.45">
      <c r="A188">
        <v>1.3</v>
      </c>
      <c r="H188">
        <v>1</v>
      </c>
    </row>
    <row r="189" spans="1:8" x14ac:dyDescent="0.45">
      <c r="A189">
        <v>1.3</v>
      </c>
      <c r="H189">
        <v>1</v>
      </c>
    </row>
    <row r="190" spans="1:8" x14ac:dyDescent="0.45">
      <c r="A190">
        <v>1.3</v>
      </c>
      <c r="H190">
        <v>1</v>
      </c>
    </row>
    <row r="191" spans="1:8" x14ac:dyDescent="0.45">
      <c r="A191">
        <v>1.3</v>
      </c>
      <c r="H191">
        <v>1</v>
      </c>
    </row>
    <row r="192" spans="1:8" x14ac:dyDescent="0.45">
      <c r="A192">
        <v>1.3</v>
      </c>
      <c r="H192">
        <v>1</v>
      </c>
    </row>
    <row r="193" spans="1:8" x14ac:dyDescent="0.45">
      <c r="A193">
        <v>1.3</v>
      </c>
      <c r="H193">
        <v>1</v>
      </c>
    </row>
    <row r="194" spans="1:8" x14ac:dyDescent="0.45">
      <c r="A194">
        <v>1.3</v>
      </c>
      <c r="H194">
        <v>1</v>
      </c>
    </row>
    <row r="195" spans="1:8" x14ac:dyDescent="0.45">
      <c r="A195">
        <v>1.3</v>
      </c>
      <c r="H195">
        <v>1</v>
      </c>
    </row>
    <row r="196" spans="1:8" x14ac:dyDescent="0.45">
      <c r="A196">
        <v>1.3</v>
      </c>
      <c r="H196">
        <v>1</v>
      </c>
    </row>
    <row r="197" spans="1:8" x14ac:dyDescent="0.45">
      <c r="A197">
        <v>1.3</v>
      </c>
      <c r="H197">
        <v>1</v>
      </c>
    </row>
    <row r="198" spans="1:8" x14ac:dyDescent="0.45">
      <c r="A198">
        <v>1.3</v>
      </c>
      <c r="H198">
        <v>1</v>
      </c>
    </row>
    <row r="199" spans="1:8" x14ac:dyDescent="0.45">
      <c r="A199">
        <v>1.3</v>
      </c>
      <c r="H199">
        <v>1</v>
      </c>
    </row>
    <row r="200" spans="1:8" x14ac:dyDescent="0.45">
      <c r="A200">
        <v>1.3</v>
      </c>
      <c r="H200">
        <v>1</v>
      </c>
    </row>
    <row r="201" spans="1:8" x14ac:dyDescent="0.45">
      <c r="A201">
        <v>1.3</v>
      </c>
      <c r="H201">
        <v>1</v>
      </c>
    </row>
    <row r="202" spans="1:8" x14ac:dyDescent="0.45">
      <c r="A202">
        <v>1.3</v>
      </c>
      <c r="H202">
        <v>1</v>
      </c>
    </row>
    <row r="203" spans="1:8" x14ac:dyDescent="0.45">
      <c r="A203">
        <v>1.3</v>
      </c>
      <c r="H203">
        <v>1</v>
      </c>
    </row>
    <row r="204" spans="1:8" x14ac:dyDescent="0.45">
      <c r="A204">
        <v>1.3</v>
      </c>
      <c r="H204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754-B551-4F7E-BEFE-5613652B9D22}">
  <dimension ref="A1:M175"/>
  <sheetViews>
    <sheetView workbookViewId="0">
      <pane ySplit="3" topLeftCell="A146" activePane="bottomLeft" state="frozen"/>
      <selection pane="bottomLeft" activeCell="F169" sqref="F16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1.2</v>
      </c>
      <c r="B2" t="s">
        <v>351</v>
      </c>
      <c r="C2">
        <v>1</v>
      </c>
      <c r="D2">
        <v>1</v>
      </c>
      <c r="E2" t="s">
        <v>7</v>
      </c>
      <c r="F2" t="s">
        <v>11</v>
      </c>
      <c r="H2">
        <v>1</v>
      </c>
      <c r="I2" t="s">
        <v>5</v>
      </c>
      <c r="J2">
        <f>COUNTIFS(E:E,"*F*",H:H,1)</f>
        <v>77</v>
      </c>
      <c r="K2">
        <f>J2+J3</f>
        <v>104</v>
      </c>
      <c r="L2">
        <f>J2/K2</f>
        <v>0.74038461538461542</v>
      </c>
      <c r="M2">
        <f>SQRT(L2*L3/K2)</f>
        <v>4.2990969164195779E-2</v>
      </c>
    </row>
    <row r="3" spans="1:13" x14ac:dyDescent="0.45">
      <c r="A3">
        <v>1.2</v>
      </c>
      <c r="B3" t="s">
        <v>351</v>
      </c>
      <c r="C3">
        <v>1</v>
      </c>
      <c r="D3">
        <v>2</v>
      </c>
      <c r="E3" t="s">
        <v>5</v>
      </c>
      <c r="F3" t="s">
        <v>314</v>
      </c>
      <c r="H3">
        <v>1</v>
      </c>
      <c r="I3" t="s">
        <v>18</v>
      </c>
      <c r="J3">
        <f>COUNTIFS(E:E,"*B*",H:H,1)</f>
        <v>27</v>
      </c>
      <c r="L3">
        <f>J3/K2</f>
        <v>0.25961538461538464</v>
      </c>
    </row>
    <row r="4" spans="1:13" x14ac:dyDescent="0.45">
      <c r="A4">
        <v>1.2</v>
      </c>
      <c r="B4" t="s">
        <v>351</v>
      </c>
      <c r="C4">
        <v>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63</v>
      </c>
    </row>
    <row r="5" spans="1:13" x14ac:dyDescent="0.45">
      <c r="A5">
        <v>1.2</v>
      </c>
      <c r="B5" t="s">
        <v>351</v>
      </c>
      <c r="C5">
        <v>1</v>
      </c>
      <c r="D5">
        <v>4</v>
      </c>
      <c r="E5" t="s">
        <v>5</v>
      </c>
      <c r="F5" t="s">
        <v>352</v>
      </c>
      <c r="H5">
        <v>1</v>
      </c>
    </row>
    <row r="6" spans="1:13" x14ac:dyDescent="0.45">
      <c r="A6">
        <v>1.2</v>
      </c>
      <c r="B6" t="s">
        <v>351</v>
      </c>
      <c r="C6">
        <v>1</v>
      </c>
      <c r="D6">
        <v>5</v>
      </c>
      <c r="E6" t="s">
        <v>5</v>
      </c>
      <c r="F6" t="s">
        <v>108</v>
      </c>
      <c r="H6">
        <v>1</v>
      </c>
    </row>
    <row r="7" spans="1:13" x14ac:dyDescent="0.45">
      <c r="A7">
        <v>1.2</v>
      </c>
      <c r="B7" t="s">
        <v>351</v>
      </c>
      <c r="C7">
        <v>1</v>
      </c>
      <c r="D7">
        <v>6</v>
      </c>
      <c r="E7" t="s">
        <v>18</v>
      </c>
      <c r="F7" t="s">
        <v>355</v>
      </c>
      <c r="H7">
        <v>1</v>
      </c>
    </row>
    <row r="8" spans="1:13" x14ac:dyDescent="0.45">
      <c r="A8">
        <v>1.2</v>
      </c>
      <c r="B8" t="s">
        <v>351</v>
      </c>
      <c r="C8">
        <v>1</v>
      </c>
      <c r="D8">
        <v>7</v>
      </c>
      <c r="E8" t="s">
        <v>5</v>
      </c>
      <c r="F8" t="s">
        <v>239</v>
      </c>
      <c r="H8">
        <v>1</v>
      </c>
    </row>
    <row r="9" spans="1:13" x14ac:dyDescent="0.45">
      <c r="A9">
        <v>1.2</v>
      </c>
      <c r="B9" t="s">
        <v>351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1.2</v>
      </c>
      <c r="B10" t="s">
        <v>351</v>
      </c>
      <c r="C10">
        <v>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1.2</v>
      </c>
      <c r="B11" t="s">
        <v>351</v>
      </c>
      <c r="C11">
        <v>401</v>
      </c>
      <c r="D11">
        <v>1</v>
      </c>
      <c r="E11" t="s">
        <v>5</v>
      </c>
      <c r="F11" t="s">
        <v>287</v>
      </c>
      <c r="G11" t="s">
        <v>171</v>
      </c>
      <c r="H11">
        <v>1</v>
      </c>
    </row>
    <row r="12" spans="1:13" x14ac:dyDescent="0.45">
      <c r="A12">
        <v>1.2</v>
      </c>
      <c r="B12" t="s">
        <v>351</v>
      </c>
      <c r="C12">
        <v>401</v>
      </c>
      <c r="D12">
        <v>2</v>
      </c>
      <c r="E12" t="s">
        <v>5</v>
      </c>
      <c r="F12" t="s">
        <v>356</v>
      </c>
      <c r="H12">
        <v>1</v>
      </c>
    </row>
    <row r="13" spans="1:13" x14ac:dyDescent="0.45">
      <c r="A13">
        <v>1.2</v>
      </c>
      <c r="B13" t="s">
        <v>351</v>
      </c>
      <c r="C13">
        <v>401</v>
      </c>
      <c r="D13">
        <v>3</v>
      </c>
      <c r="E13" t="s">
        <v>7</v>
      </c>
      <c r="F13" t="s">
        <v>9</v>
      </c>
      <c r="H13">
        <v>1</v>
      </c>
    </row>
    <row r="14" spans="1:13" x14ac:dyDescent="0.45">
      <c r="A14">
        <v>1.2</v>
      </c>
      <c r="B14" t="s">
        <v>351</v>
      </c>
      <c r="C14">
        <v>401</v>
      </c>
      <c r="D14">
        <v>4</v>
      </c>
      <c r="E14" t="s">
        <v>5</v>
      </c>
      <c r="F14" t="s">
        <v>246</v>
      </c>
      <c r="H14">
        <v>1</v>
      </c>
    </row>
    <row r="15" spans="1:13" x14ac:dyDescent="0.45">
      <c r="A15">
        <v>1.2</v>
      </c>
      <c r="B15" t="s">
        <v>351</v>
      </c>
      <c r="C15">
        <v>401</v>
      </c>
      <c r="D15">
        <v>5</v>
      </c>
      <c r="E15" t="s">
        <v>7</v>
      </c>
      <c r="F15" t="s">
        <v>9</v>
      </c>
      <c r="H15">
        <v>1</v>
      </c>
    </row>
    <row r="16" spans="1:13" x14ac:dyDescent="0.45">
      <c r="A16">
        <v>1.2</v>
      </c>
      <c r="B16" t="s">
        <v>351</v>
      </c>
      <c r="C16">
        <v>401</v>
      </c>
      <c r="D16">
        <v>6</v>
      </c>
      <c r="E16" t="s">
        <v>7</v>
      </c>
      <c r="F16" t="s">
        <v>10</v>
      </c>
      <c r="H16">
        <v>1</v>
      </c>
    </row>
    <row r="17" spans="1:8" x14ac:dyDescent="0.45">
      <c r="A17">
        <v>1.2</v>
      </c>
      <c r="B17" t="s">
        <v>351</v>
      </c>
      <c r="C17">
        <v>401</v>
      </c>
      <c r="D17">
        <v>7</v>
      </c>
      <c r="E17" t="s">
        <v>7</v>
      </c>
      <c r="F17" t="s">
        <v>10</v>
      </c>
      <c r="H17">
        <v>1</v>
      </c>
    </row>
    <row r="18" spans="1:8" x14ac:dyDescent="0.45">
      <c r="A18">
        <v>1.2</v>
      </c>
      <c r="B18" t="s">
        <v>351</v>
      </c>
      <c r="C18">
        <v>401</v>
      </c>
      <c r="D18">
        <v>8</v>
      </c>
      <c r="E18" t="s">
        <v>7</v>
      </c>
      <c r="F18" t="s">
        <v>10</v>
      </c>
      <c r="H18">
        <v>1</v>
      </c>
    </row>
    <row r="19" spans="1:8" x14ac:dyDescent="0.45">
      <c r="A19">
        <v>1.2</v>
      </c>
      <c r="B19" t="s">
        <v>351</v>
      </c>
      <c r="C19">
        <v>401</v>
      </c>
      <c r="D19">
        <v>9</v>
      </c>
      <c r="E19" t="s">
        <v>7</v>
      </c>
      <c r="F19" t="s">
        <v>10</v>
      </c>
      <c r="H19">
        <v>1</v>
      </c>
    </row>
    <row r="20" spans="1:8" x14ac:dyDescent="0.45">
      <c r="A20">
        <v>1.2</v>
      </c>
      <c r="B20" t="s">
        <v>351</v>
      </c>
      <c r="C20">
        <v>401</v>
      </c>
      <c r="D20">
        <v>10</v>
      </c>
      <c r="E20" t="s">
        <v>7</v>
      </c>
      <c r="F20" t="s">
        <v>9</v>
      </c>
      <c r="H20">
        <v>1</v>
      </c>
    </row>
    <row r="21" spans="1:8" x14ac:dyDescent="0.45">
      <c r="A21">
        <v>1.2</v>
      </c>
      <c r="B21" t="s">
        <v>351</v>
      </c>
      <c r="C21">
        <v>401</v>
      </c>
      <c r="D21">
        <v>11</v>
      </c>
      <c r="E21" t="s">
        <v>5</v>
      </c>
      <c r="F21" t="s">
        <v>246</v>
      </c>
      <c r="H21">
        <v>1</v>
      </c>
    </row>
    <row r="22" spans="1:8" x14ac:dyDescent="0.45">
      <c r="A22">
        <v>1.2</v>
      </c>
      <c r="B22" t="s">
        <v>351</v>
      </c>
      <c r="C22">
        <v>401</v>
      </c>
      <c r="D22">
        <v>12</v>
      </c>
      <c r="E22" t="s">
        <v>5</v>
      </c>
      <c r="F22" t="s">
        <v>357</v>
      </c>
      <c r="H22">
        <v>1</v>
      </c>
    </row>
    <row r="23" spans="1:8" x14ac:dyDescent="0.45">
      <c r="A23">
        <v>1.2</v>
      </c>
      <c r="B23" t="s">
        <v>351</v>
      </c>
      <c r="C23">
        <v>801</v>
      </c>
      <c r="D23">
        <v>1</v>
      </c>
      <c r="E23" t="s">
        <v>7</v>
      </c>
      <c r="F23" t="s">
        <v>10</v>
      </c>
      <c r="H23">
        <v>1</v>
      </c>
    </row>
    <row r="24" spans="1:8" x14ac:dyDescent="0.45">
      <c r="A24">
        <v>1.2</v>
      </c>
      <c r="B24" t="s">
        <v>351</v>
      </c>
      <c r="C24">
        <v>801</v>
      </c>
      <c r="D24">
        <v>2</v>
      </c>
      <c r="E24" t="s">
        <v>18</v>
      </c>
      <c r="F24" t="s">
        <v>46</v>
      </c>
      <c r="H24">
        <v>1</v>
      </c>
    </row>
    <row r="25" spans="1:8" x14ac:dyDescent="0.45">
      <c r="A25">
        <v>1.2</v>
      </c>
      <c r="B25" t="s">
        <v>351</v>
      </c>
      <c r="C25">
        <v>801</v>
      </c>
      <c r="D25">
        <v>3</v>
      </c>
      <c r="E25" t="s">
        <v>5</v>
      </c>
      <c r="F25" t="s">
        <v>358</v>
      </c>
      <c r="H25">
        <v>1</v>
      </c>
    </row>
    <row r="26" spans="1:8" x14ac:dyDescent="0.45">
      <c r="A26">
        <v>1.2</v>
      </c>
      <c r="B26" t="s">
        <v>351</v>
      </c>
      <c r="C26">
        <v>801</v>
      </c>
      <c r="D26">
        <v>4</v>
      </c>
      <c r="E26" t="s">
        <v>7</v>
      </c>
      <c r="F26" t="s">
        <v>10</v>
      </c>
      <c r="H26">
        <v>1</v>
      </c>
    </row>
    <row r="27" spans="1:8" x14ac:dyDescent="0.45">
      <c r="A27">
        <v>1.2</v>
      </c>
      <c r="B27" t="s">
        <v>351</v>
      </c>
      <c r="C27">
        <v>801</v>
      </c>
      <c r="D27">
        <v>5</v>
      </c>
      <c r="E27" t="s">
        <v>7</v>
      </c>
      <c r="F27" t="s">
        <v>10</v>
      </c>
      <c r="H27">
        <v>1</v>
      </c>
    </row>
    <row r="28" spans="1:8" x14ac:dyDescent="0.45">
      <c r="A28">
        <v>1.2</v>
      </c>
      <c r="B28" t="s">
        <v>351</v>
      </c>
      <c r="C28">
        <v>801</v>
      </c>
      <c r="D28">
        <v>6</v>
      </c>
      <c r="E28" t="s">
        <v>5</v>
      </c>
      <c r="F28" t="s">
        <v>359</v>
      </c>
      <c r="H28">
        <v>1</v>
      </c>
    </row>
    <row r="29" spans="1:8" x14ac:dyDescent="0.45">
      <c r="A29">
        <v>1.2</v>
      </c>
      <c r="B29" t="s">
        <v>351</v>
      </c>
      <c r="C29">
        <v>801</v>
      </c>
      <c r="D29">
        <v>7</v>
      </c>
      <c r="E29" t="s">
        <v>7</v>
      </c>
      <c r="F29" t="s">
        <v>9</v>
      </c>
      <c r="H29">
        <v>1</v>
      </c>
    </row>
    <row r="30" spans="1:8" x14ac:dyDescent="0.45">
      <c r="A30">
        <v>1.2</v>
      </c>
      <c r="B30" t="s">
        <v>351</v>
      </c>
      <c r="C30">
        <v>801</v>
      </c>
      <c r="D30">
        <v>8</v>
      </c>
      <c r="E30" t="s">
        <v>7</v>
      </c>
      <c r="F30" t="s">
        <v>9</v>
      </c>
      <c r="H30">
        <v>1</v>
      </c>
    </row>
    <row r="31" spans="1:8" x14ac:dyDescent="0.45">
      <c r="A31">
        <v>1.2</v>
      </c>
      <c r="B31" t="s">
        <v>351</v>
      </c>
      <c r="C31">
        <v>801</v>
      </c>
      <c r="D31">
        <v>9</v>
      </c>
      <c r="E31" t="s">
        <v>5</v>
      </c>
      <c r="F31" t="s">
        <v>217</v>
      </c>
      <c r="H31">
        <v>1</v>
      </c>
    </row>
    <row r="32" spans="1:8" x14ac:dyDescent="0.45">
      <c r="A32">
        <v>1.2</v>
      </c>
      <c r="B32" t="s">
        <v>351</v>
      </c>
      <c r="C32">
        <v>801</v>
      </c>
      <c r="D32">
        <v>10</v>
      </c>
      <c r="E32" t="s">
        <v>7</v>
      </c>
      <c r="F32" t="s">
        <v>10</v>
      </c>
      <c r="H32">
        <v>1</v>
      </c>
    </row>
    <row r="33" spans="1:8" x14ac:dyDescent="0.45">
      <c r="A33">
        <v>1.2</v>
      </c>
      <c r="B33" t="s">
        <v>351</v>
      </c>
      <c r="C33">
        <v>801</v>
      </c>
      <c r="D33">
        <v>11</v>
      </c>
      <c r="E33" t="s">
        <v>7</v>
      </c>
      <c r="F33" t="s">
        <v>10</v>
      </c>
      <c r="H33">
        <v>1</v>
      </c>
    </row>
    <row r="34" spans="1:8" x14ac:dyDescent="0.45">
      <c r="A34">
        <v>1.2</v>
      </c>
      <c r="B34" t="s">
        <v>351</v>
      </c>
      <c r="C34">
        <v>801</v>
      </c>
      <c r="D34">
        <v>12</v>
      </c>
      <c r="E34" t="s">
        <v>7</v>
      </c>
      <c r="F34" t="s">
        <v>10</v>
      </c>
      <c r="H34">
        <v>1</v>
      </c>
    </row>
    <row r="35" spans="1:8" x14ac:dyDescent="0.45">
      <c r="A35">
        <v>1.2</v>
      </c>
      <c r="B35" t="s">
        <v>351</v>
      </c>
      <c r="C35">
        <v>801</v>
      </c>
      <c r="D35">
        <v>13</v>
      </c>
      <c r="E35" t="s">
        <v>7</v>
      </c>
      <c r="F35" t="s">
        <v>9</v>
      </c>
      <c r="H35">
        <v>1</v>
      </c>
    </row>
    <row r="36" spans="1:8" x14ac:dyDescent="0.45">
      <c r="A36">
        <v>1.2</v>
      </c>
      <c r="B36" t="s">
        <v>351</v>
      </c>
      <c r="C36">
        <v>801</v>
      </c>
      <c r="D36">
        <v>14</v>
      </c>
      <c r="E36" t="s">
        <v>5</v>
      </c>
      <c r="F36" t="s">
        <v>360</v>
      </c>
      <c r="G36" t="s">
        <v>171</v>
      </c>
      <c r="H36">
        <v>1</v>
      </c>
    </row>
    <row r="37" spans="1:8" x14ac:dyDescent="0.45">
      <c r="A37">
        <v>1.2</v>
      </c>
      <c r="B37" t="s">
        <v>351</v>
      </c>
      <c r="C37">
        <v>801</v>
      </c>
      <c r="D37">
        <v>15</v>
      </c>
      <c r="E37" t="s">
        <v>7</v>
      </c>
      <c r="F37" t="s">
        <v>9</v>
      </c>
      <c r="H37">
        <v>1</v>
      </c>
    </row>
    <row r="38" spans="1:8" x14ac:dyDescent="0.45">
      <c r="A38">
        <v>1.2</v>
      </c>
      <c r="B38" t="s">
        <v>351</v>
      </c>
      <c r="C38">
        <v>1201</v>
      </c>
      <c r="D38">
        <v>1</v>
      </c>
      <c r="E38" t="s">
        <v>5</v>
      </c>
      <c r="F38" t="s">
        <v>361</v>
      </c>
      <c r="H38">
        <v>1</v>
      </c>
    </row>
    <row r="39" spans="1:8" x14ac:dyDescent="0.45">
      <c r="A39">
        <v>1.2</v>
      </c>
      <c r="B39" t="s">
        <v>351</v>
      </c>
      <c r="C39">
        <v>1201</v>
      </c>
      <c r="D39">
        <v>2</v>
      </c>
      <c r="E39" t="s">
        <v>7</v>
      </c>
      <c r="F39" t="s">
        <v>10</v>
      </c>
      <c r="H39">
        <v>1</v>
      </c>
    </row>
    <row r="40" spans="1:8" x14ac:dyDescent="0.45">
      <c r="A40">
        <v>1.2</v>
      </c>
      <c r="B40" t="s">
        <v>351</v>
      </c>
      <c r="C40">
        <v>1201</v>
      </c>
      <c r="D40">
        <v>3</v>
      </c>
      <c r="E40" t="s">
        <v>7</v>
      </c>
      <c r="F40" t="s">
        <v>10</v>
      </c>
      <c r="H40">
        <v>1</v>
      </c>
    </row>
    <row r="41" spans="1:8" x14ac:dyDescent="0.45">
      <c r="A41">
        <v>1.2</v>
      </c>
      <c r="B41" t="s">
        <v>351</v>
      </c>
      <c r="C41">
        <v>1201</v>
      </c>
      <c r="D41">
        <v>4</v>
      </c>
      <c r="E41" t="s">
        <v>5</v>
      </c>
      <c r="F41" t="s">
        <v>298</v>
      </c>
      <c r="G41" t="s">
        <v>171</v>
      </c>
      <c r="H41">
        <v>1</v>
      </c>
    </row>
    <row r="42" spans="1:8" x14ac:dyDescent="0.45">
      <c r="A42">
        <v>1.2</v>
      </c>
      <c r="B42" t="s">
        <v>351</v>
      </c>
      <c r="C42">
        <v>1201</v>
      </c>
      <c r="D42">
        <v>5</v>
      </c>
      <c r="E42" t="s">
        <v>5</v>
      </c>
      <c r="F42" t="s">
        <v>55</v>
      </c>
      <c r="H42">
        <v>1</v>
      </c>
    </row>
    <row r="43" spans="1:8" x14ac:dyDescent="0.45">
      <c r="A43">
        <v>1.2</v>
      </c>
      <c r="B43" t="s">
        <v>351</v>
      </c>
      <c r="C43">
        <v>1201</v>
      </c>
      <c r="D43">
        <v>6</v>
      </c>
      <c r="E43" t="s">
        <v>5</v>
      </c>
      <c r="F43" t="s">
        <v>362</v>
      </c>
      <c r="H43">
        <v>1</v>
      </c>
    </row>
    <row r="44" spans="1:8" x14ac:dyDescent="0.45">
      <c r="A44">
        <v>1.2</v>
      </c>
      <c r="B44" t="s">
        <v>351</v>
      </c>
      <c r="C44">
        <v>1201</v>
      </c>
      <c r="D44">
        <v>7</v>
      </c>
      <c r="E44" t="s">
        <v>7</v>
      </c>
      <c r="F44" t="s">
        <v>10</v>
      </c>
      <c r="H44">
        <v>1</v>
      </c>
    </row>
    <row r="45" spans="1:8" x14ac:dyDescent="0.45">
      <c r="A45">
        <v>1.2</v>
      </c>
      <c r="B45" t="s">
        <v>351</v>
      </c>
      <c r="C45">
        <v>1201</v>
      </c>
      <c r="D45">
        <v>8</v>
      </c>
      <c r="E45" t="s">
        <v>7</v>
      </c>
      <c r="F45" t="s">
        <v>9</v>
      </c>
      <c r="H45">
        <v>1</v>
      </c>
    </row>
    <row r="46" spans="1:8" x14ac:dyDescent="0.45">
      <c r="A46">
        <v>1.2</v>
      </c>
      <c r="B46" t="s">
        <v>351</v>
      </c>
      <c r="C46">
        <v>1201</v>
      </c>
      <c r="D46">
        <v>9</v>
      </c>
      <c r="E46" t="s">
        <v>5</v>
      </c>
      <c r="F46" t="s">
        <v>334</v>
      </c>
      <c r="H46">
        <v>1</v>
      </c>
    </row>
    <row r="47" spans="1:8" x14ac:dyDescent="0.45">
      <c r="A47">
        <v>1.2</v>
      </c>
      <c r="B47" t="s">
        <v>351</v>
      </c>
      <c r="C47">
        <v>1201</v>
      </c>
      <c r="D47">
        <v>10</v>
      </c>
      <c r="E47" t="s">
        <v>18</v>
      </c>
      <c r="F47" t="s">
        <v>363</v>
      </c>
      <c r="H47">
        <v>1</v>
      </c>
    </row>
    <row r="48" spans="1:8" x14ac:dyDescent="0.45">
      <c r="A48">
        <v>1.2</v>
      </c>
      <c r="B48" t="s">
        <v>351</v>
      </c>
      <c r="C48">
        <v>1201</v>
      </c>
      <c r="D48">
        <v>11</v>
      </c>
      <c r="E48" t="s">
        <v>5</v>
      </c>
      <c r="F48" t="s">
        <v>364</v>
      </c>
      <c r="H48">
        <v>1</v>
      </c>
    </row>
    <row r="49" spans="1:8" x14ac:dyDescent="0.45">
      <c r="A49">
        <v>1.2</v>
      </c>
      <c r="B49" t="s">
        <v>351</v>
      </c>
      <c r="C49">
        <v>1201</v>
      </c>
      <c r="D49">
        <v>12</v>
      </c>
      <c r="E49" t="s">
        <v>5</v>
      </c>
      <c r="F49" t="s">
        <v>226</v>
      </c>
      <c r="H49">
        <v>1</v>
      </c>
    </row>
    <row r="50" spans="1:8" x14ac:dyDescent="0.45">
      <c r="A50">
        <v>1.2</v>
      </c>
      <c r="B50" t="s">
        <v>351</v>
      </c>
      <c r="C50">
        <v>1201</v>
      </c>
      <c r="D50">
        <v>13</v>
      </c>
      <c r="E50" t="s">
        <v>18</v>
      </c>
      <c r="F50" t="s">
        <v>365</v>
      </c>
      <c r="H50">
        <v>1</v>
      </c>
    </row>
    <row r="51" spans="1:8" x14ac:dyDescent="0.45">
      <c r="A51">
        <v>1.2</v>
      </c>
      <c r="B51" t="s">
        <v>351</v>
      </c>
      <c r="C51">
        <v>1201</v>
      </c>
      <c r="D51">
        <v>14</v>
      </c>
      <c r="E51" t="s">
        <v>18</v>
      </c>
      <c r="F51" t="s">
        <v>226</v>
      </c>
      <c r="H51">
        <v>1</v>
      </c>
    </row>
    <row r="52" spans="1:8" x14ac:dyDescent="0.45">
      <c r="A52">
        <v>1.2</v>
      </c>
      <c r="B52" t="s">
        <v>351</v>
      </c>
      <c r="C52">
        <v>1201</v>
      </c>
      <c r="D52">
        <v>15</v>
      </c>
      <c r="E52" t="s">
        <v>5</v>
      </c>
      <c r="F52" t="s">
        <v>366</v>
      </c>
      <c r="H52">
        <v>1</v>
      </c>
    </row>
    <row r="53" spans="1:8" x14ac:dyDescent="0.45">
      <c r="A53">
        <v>1.2</v>
      </c>
      <c r="B53" t="s">
        <v>351</v>
      </c>
      <c r="C53">
        <v>1201</v>
      </c>
      <c r="D53">
        <v>16</v>
      </c>
      <c r="E53" t="s">
        <v>5</v>
      </c>
      <c r="F53" t="s">
        <v>367</v>
      </c>
      <c r="H53">
        <v>1</v>
      </c>
    </row>
    <row r="54" spans="1:8" x14ac:dyDescent="0.45">
      <c r="A54">
        <v>1.2</v>
      </c>
      <c r="B54" t="s">
        <v>351</v>
      </c>
      <c r="C54">
        <v>1601</v>
      </c>
      <c r="D54">
        <v>1</v>
      </c>
      <c r="E54" t="s">
        <v>5</v>
      </c>
      <c r="F54" t="s">
        <v>368</v>
      </c>
      <c r="H54">
        <v>1</v>
      </c>
    </row>
    <row r="55" spans="1:8" x14ac:dyDescent="0.45">
      <c r="A55">
        <v>1.2</v>
      </c>
      <c r="B55" t="s">
        <v>351</v>
      </c>
      <c r="C55">
        <v>1601</v>
      </c>
      <c r="D55">
        <v>2</v>
      </c>
      <c r="E55" t="s">
        <v>5</v>
      </c>
      <c r="F55" t="s">
        <v>369</v>
      </c>
      <c r="H55">
        <v>1</v>
      </c>
    </row>
    <row r="56" spans="1:8" x14ac:dyDescent="0.45">
      <c r="A56">
        <v>1.2</v>
      </c>
      <c r="B56" t="s">
        <v>351</v>
      </c>
      <c r="C56">
        <v>1601</v>
      </c>
      <c r="D56">
        <v>3</v>
      </c>
      <c r="E56" t="s">
        <v>5</v>
      </c>
      <c r="F56" t="s">
        <v>371</v>
      </c>
      <c r="H56">
        <v>1</v>
      </c>
    </row>
    <row r="57" spans="1:8" x14ac:dyDescent="0.45">
      <c r="A57">
        <v>1.2</v>
      </c>
      <c r="B57" t="s">
        <v>351</v>
      </c>
      <c r="C57">
        <v>1601</v>
      </c>
      <c r="D57">
        <v>4</v>
      </c>
      <c r="E57" t="s">
        <v>7</v>
      </c>
      <c r="F57" t="s">
        <v>10</v>
      </c>
      <c r="H57">
        <v>1</v>
      </c>
    </row>
    <row r="58" spans="1:8" x14ac:dyDescent="0.45">
      <c r="A58">
        <v>1.2</v>
      </c>
      <c r="B58" t="s">
        <v>351</v>
      </c>
      <c r="C58">
        <v>1601</v>
      </c>
      <c r="D58">
        <v>5</v>
      </c>
      <c r="E58" t="s">
        <v>18</v>
      </c>
      <c r="F58" t="s">
        <v>372</v>
      </c>
      <c r="H58">
        <v>1</v>
      </c>
    </row>
    <row r="59" spans="1:8" x14ac:dyDescent="0.45">
      <c r="A59">
        <v>1.2</v>
      </c>
      <c r="B59" t="s">
        <v>351</v>
      </c>
      <c r="C59">
        <v>1601</v>
      </c>
      <c r="D59">
        <v>6</v>
      </c>
      <c r="E59" t="s">
        <v>5</v>
      </c>
      <c r="F59" t="s">
        <v>373</v>
      </c>
      <c r="H59">
        <v>1</v>
      </c>
    </row>
    <row r="60" spans="1:8" x14ac:dyDescent="0.45">
      <c r="A60">
        <v>1.2</v>
      </c>
      <c r="B60" t="s">
        <v>351</v>
      </c>
      <c r="C60">
        <v>1601</v>
      </c>
      <c r="D60">
        <v>7</v>
      </c>
      <c r="E60" t="s">
        <v>5</v>
      </c>
      <c r="F60" t="s">
        <v>143</v>
      </c>
      <c r="H60">
        <v>1</v>
      </c>
    </row>
    <row r="61" spans="1:8" x14ac:dyDescent="0.45">
      <c r="A61">
        <v>1.2</v>
      </c>
      <c r="B61" t="s">
        <v>351</v>
      </c>
      <c r="C61">
        <v>1601</v>
      </c>
      <c r="D61">
        <v>8</v>
      </c>
      <c r="E61" t="s">
        <v>7</v>
      </c>
      <c r="F61" t="s">
        <v>9</v>
      </c>
      <c r="H61">
        <v>1</v>
      </c>
    </row>
    <row r="62" spans="1:8" x14ac:dyDescent="0.45">
      <c r="A62">
        <v>1.2</v>
      </c>
      <c r="B62" t="s">
        <v>351</v>
      </c>
      <c r="C62">
        <v>1601</v>
      </c>
      <c r="D62">
        <v>9</v>
      </c>
      <c r="E62" t="s">
        <v>7</v>
      </c>
      <c r="F62" t="s">
        <v>9</v>
      </c>
      <c r="H62">
        <v>1</v>
      </c>
    </row>
    <row r="63" spans="1:8" x14ac:dyDescent="0.45">
      <c r="A63">
        <v>1.2</v>
      </c>
      <c r="B63" t="s">
        <v>351</v>
      </c>
      <c r="C63">
        <v>1601</v>
      </c>
      <c r="D63">
        <v>10</v>
      </c>
      <c r="E63" t="s">
        <v>5</v>
      </c>
      <c r="F63" t="s">
        <v>374</v>
      </c>
      <c r="H63">
        <v>1</v>
      </c>
    </row>
    <row r="64" spans="1:8" x14ac:dyDescent="0.45">
      <c r="A64">
        <v>1.2</v>
      </c>
      <c r="B64" t="s">
        <v>351</v>
      </c>
      <c r="C64">
        <v>1601</v>
      </c>
      <c r="D64">
        <v>11</v>
      </c>
      <c r="E64" t="s">
        <v>5</v>
      </c>
      <c r="F64" t="s">
        <v>139</v>
      </c>
      <c r="H64">
        <v>1</v>
      </c>
    </row>
    <row r="65" spans="1:8" x14ac:dyDescent="0.45">
      <c r="A65">
        <v>1.2</v>
      </c>
      <c r="B65" t="s">
        <v>351</v>
      </c>
      <c r="C65">
        <v>1601</v>
      </c>
      <c r="D65">
        <v>12</v>
      </c>
      <c r="E65" t="s">
        <v>5</v>
      </c>
      <c r="F65" t="s">
        <v>62</v>
      </c>
      <c r="G65" t="s">
        <v>171</v>
      </c>
      <c r="H65">
        <v>1</v>
      </c>
    </row>
    <row r="66" spans="1:8" x14ac:dyDescent="0.45">
      <c r="A66">
        <v>1.2</v>
      </c>
      <c r="B66" t="s">
        <v>351</v>
      </c>
      <c r="C66">
        <v>1601</v>
      </c>
      <c r="D66">
        <v>13</v>
      </c>
      <c r="E66" t="s">
        <v>7</v>
      </c>
      <c r="F66" t="s">
        <v>10</v>
      </c>
      <c r="H66">
        <v>1</v>
      </c>
    </row>
    <row r="67" spans="1:8" x14ac:dyDescent="0.45">
      <c r="A67">
        <v>1.2</v>
      </c>
      <c r="B67" t="s">
        <v>351</v>
      </c>
      <c r="C67">
        <v>1601</v>
      </c>
      <c r="D67">
        <v>14</v>
      </c>
      <c r="E67" t="s">
        <v>18</v>
      </c>
      <c r="F67" t="s">
        <v>375</v>
      </c>
      <c r="H67">
        <v>1</v>
      </c>
    </row>
    <row r="68" spans="1:8" x14ac:dyDescent="0.45">
      <c r="A68">
        <v>1.2</v>
      </c>
      <c r="B68" t="s">
        <v>351</v>
      </c>
      <c r="C68">
        <v>1601</v>
      </c>
      <c r="D68">
        <v>15</v>
      </c>
      <c r="E68" t="s">
        <v>7</v>
      </c>
      <c r="F68" t="s">
        <v>11</v>
      </c>
      <c r="H68">
        <v>1</v>
      </c>
    </row>
    <row r="69" spans="1:8" x14ac:dyDescent="0.45">
      <c r="A69">
        <v>1.2</v>
      </c>
      <c r="B69" t="s">
        <v>351</v>
      </c>
      <c r="C69">
        <v>1601</v>
      </c>
      <c r="D69">
        <v>16</v>
      </c>
      <c r="E69" t="s">
        <v>5</v>
      </c>
      <c r="F69" t="s">
        <v>376</v>
      </c>
      <c r="H69">
        <v>1</v>
      </c>
    </row>
    <row r="70" spans="1:8" x14ac:dyDescent="0.45">
      <c r="A70">
        <v>1.2</v>
      </c>
      <c r="B70" t="s">
        <v>351</v>
      </c>
      <c r="C70">
        <v>1601</v>
      </c>
      <c r="D70">
        <v>17</v>
      </c>
      <c r="E70" t="s">
        <v>7</v>
      </c>
      <c r="F70" t="s">
        <v>9</v>
      </c>
      <c r="H70">
        <v>1</v>
      </c>
    </row>
    <row r="71" spans="1:8" x14ac:dyDescent="0.45">
      <c r="A71">
        <v>1.2</v>
      </c>
      <c r="B71" t="s">
        <v>351</v>
      </c>
      <c r="C71">
        <v>1601</v>
      </c>
      <c r="D71">
        <v>18</v>
      </c>
      <c r="E71" t="s">
        <v>5</v>
      </c>
      <c r="F71" t="s">
        <v>191</v>
      </c>
      <c r="H71">
        <v>1</v>
      </c>
    </row>
    <row r="72" spans="1:8" x14ac:dyDescent="0.45">
      <c r="A72">
        <v>1.2</v>
      </c>
      <c r="B72" t="s">
        <v>351</v>
      </c>
      <c r="C72">
        <v>1601</v>
      </c>
      <c r="D72">
        <v>19</v>
      </c>
      <c r="E72" t="s">
        <v>5</v>
      </c>
      <c r="F72" t="s">
        <v>377</v>
      </c>
      <c r="H72">
        <v>1</v>
      </c>
    </row>
    <row r="73" spans="1:8" x14ac:dyDescent="0.45">
      <c r="A73">
        <v>1.2</v>
      </c>
      <c r="B73" t="s">
        <v>351</v>
      </c>
      <c r="C73">
        <v>1601</v>
      </c>
      <c r="D73">
        <v>20</v>
      </c>
      <c r="E73" t="s">
        <v>7</v>
      </c>
      <c r="F73" t="s">
        <v>9</v>
      </c>
      <c r="H73">
        <v>1</v>
      </c>
    </row>
    <row r="74" spans="1:8" x14ac:dyDescent="0.45">
      <c r="A74">
        <v>1.2</v>
      </c>
      <c r="B74" t="s">
        <v>351</v>
      </c>
      <c r="C74">
        <v>1601</v>
      </c>
      <c r="D74">
        <v>21</v>
      </c>
      <c r="E74" t="s">
        <v>7</v>
      </c>
      <c r="F74" t="s">
        <v>10</v>
      </c>
      <c r="H74">
        <v>1</v>
      </c>
    </row>
    <row r="75" spans="1:8" x14ac:dyDescent="0.45">
      <c r="A75">
        <v>1.2</v>
      </c>
      <c r="B75" t="s">
        <v>351</v>
      </c>
      <c r="C75">
        <v>1601</v>
      </c>
      <c r="D75">
        <v>22</v>
      </c>
      <c r="E75" t="s">
        <v>18</v>
      </c>
      <c r="F75" t="s">
        <v>62</v>
      </c>
      <c r="H75">
        <v>1</v>
      </c>
    </row>
    <row r="76" spans="1:8" x14ac:dyDescent="0.45">
      <c r="A76">
        <v>1.2</v>
      </c>
      <c r="B76" t="s">
        <v>351</v>
      </c>
      <c r="C76">
        <v>1601</v>
      </c>
      <c r="D76">
        <v>23</v>
      </c>
      <c r="E76" t="s">
        <v>7</v>
      </c>
      <c r="F76" t="s">
        <v>10</v>
      </c>
      <c r="H76">
        <v>1</v>
      </c>
    </row>
    <row r="77" spans="1:8" x14ac:dyDescent="0.45">
      <c r="A77">
        <v>1.2</v>
      </c>
      <c r="B77" t="s">
        <v>351</v>
      </c>
      <c r="C77">
        <v>1601</v>
      </c>
      <c r="D77">
        <v>24</v>
      </c>
      <c r="E77" t="s">
        <v>18</v>
      </c>
      <c r="F77" t="s">
        <v>378</v>
      </c>
      <c r="G77" t="s">
        <v>171</v>
      </c>
      <c r="H77">
        <v>1</v>
      </c>
    </row>
    <row r="78" spans="1:8" x14ac:dyDescent="0.45">
      <c r="A78">
        <v>1.2</v>
      </c>
      <c r="B78" t="s">
        <v>540</v>
      </c>
      <c r="C78">
        <v>1601</v>
      </c>
      <c r="D78">
        <v>1</v>
      </c>
      <c r="E78" t="s">
        <v>18</v>
      </c>
      <c r="F78" t="s">
        <v>544</v>
      </c>
      <c r="H78">
        <v>1</v>
      </c>
    </row>
    <row r="79" spans="1:8" x14ac:dyDescent="0.45">
      <c r="A79">
        <v>1.2</v>
      </c>
      <c r="B79" t="s">
        <v>540</v>
      </c>
      <c r="C79">
        <v>1601</v>
      </c>
      <c r="D79">
        <v>2</v>
      </c>
      <c r="E79" t="s">
        <v>5</v>
      </c>
      <c r="F79" t="s">
        <v>543</v>
      </c>
      <c r="H79">
        <v>1</v>
      </c>
    </row>
    <row r="80" spans="1:8" x14ac:dyDescent="0.45">
      <c r="A80">
        <v>1.2</v>
      </c>
      <c r="B80" t="s">
        <v>540</v>
      </c>
      <c r="C80">
        <v>1601</v>
      </c>
      <c r="D80">
        <v>3</v>
      </c>
      <c r="E80" t="s">
        <v>5</v>
      </c>
      <c r="F80" t="s">
        <v>139</v>
      </c>
      <c r="H80">
        <v>1</v>
      </c>
    </row>
    <row r="81" spans="1:8" x14ac:dyDescent="0.45">
      <c r="A81">
        <v>1.2</v>
      </c>
      <c r="B81" t="s">
        <v>540</v>
      </c>
      <c r="C81">
        <v>1601</v>
      </c>
      <c r="D81">
        <v>4</v>
      </c>
      <c r="E81" t="s">
        <v>18</v>
      </c>
      <c r="F81" t="s">
        <v>103</v>
      </c>
      <c r="H81">
        <v>1</v>
      </c>
    </row>
    <row r="82" spans="1:8" x14ac:dyDescent="0.45">
      <c r="A82">
        <v>1.2</v>
      </c>
      <c r="B82" t="s">
        <v>540</v>
      </c>
      <c r="C82">
        <v>1601</v>
      </c>
      <c r="D82">
        <v>5</v>
      </c>
      <c r="E82" t="s">
        <v>5</v>
      </c>
      <c r="F82" t="s">
        <v>65</v>
      </c>
      <c r="G82" t="s">
        <v>171</v>
      </c>
      <c r="H82">
        <v>1</v>
      </c>
    </row>
    <row r="83" spans="1:8" x14ac:dyDescent="0.45">
      <c r="A83">
        <v>1.2</v>
      </c>
      <c r="B83" t="s">
        <v>540</v>
      </c>
      <c r="C83">
        <v>1601</v>
      </c>
      <c r="D83">
        <v>6</v>
      </c>
      <c r="E83" t="s">
        <v>7</v>
      </c>
      <c r="F83" t="s">
        <v>9</v>
      </c>
      <c r="H83">
        <v>1</v>
      </c>
    </row>
    <row r="84" spans="1:8" x14ac:dyDescent="0.45">
      <c r="A84">
        <v>1.2</v>
      </c>
      <c r="B84" t="s">
        <v>540</v>
      </c>
      <c r="C84">
        <v>1601</v>
      </c>
      <c r="D84">
        <v>7</v>
      </c>
      <c r="E84" t="s">
        <v>5</v>
      </c>
      <c r="F84" t="s">
        <v>545</v>
      </c>
      <c r="G84" t="s">
        <v>171</v>
      </c>
      <c r="H84">
        <v>1</v>
      </c>
    </row>
    <row r="85" spans="1:8" x14ac:dyDescent="0.45">
      <c r="A85">
        <v>1.2</v>
      </c>
      <c r="B85" t="s">
        <v>540</v>
      </c>
      <c r="C85">
        <v>1601</v>
      </c>
      <c r="D85">
        <v>8</v>
      </c>
      <c r="E85" t="s">
        <v>7</v>
      </c>
      <c r="F85" t="s">
        <v>10</v>
      </c>
      <c r="H85">
        <v>1</v>
      </c>
    </row>
    <row r="86" spans="1:8" x14ac:dyDescent="0.45">
      <c r="A86">
        <v>1.2</v>
      </c>
      <c r="B86" t="s">
        <v>540</v>
      </c>
      <c r="C86">
        <v>1601</v>
      </c>
      <c r="D86">
        <v>9</v>
      </c>
      <c r="E86" t="s">
        <v>18</v>
      </c>
      <c r="F86" t="s">
        <v>340</v>
      </c>
      <c r="H86">
        <v>1</v>
      </c>
    </row>
    <row r="87" spans="1:8" x14ac:dyDescent="0.45">
      <c r="A87">
        <v>1.2</v>
      </c>
      <c r="B87" t="s">
        <v>540</v>
      </c>
      <c r="C87">
        <v>1601</v>
      </c>
      <c r="D87">
        <v>10</v>
      </c>
      <c r="E87" t="s">
        <v>5</v>
      </c>
      <c r="F87" t="s">
        <v>532</v>
      </c>
      <c r="H87">
        <v>1</v>
      </c>
    </row>
    <row r="88" spans="1:8" x14ac:dyDescent="0.45">
      <c r="A88">
        <v>1.2</v>
      </c>
      <c r="B88" t="s">
        <v>540</v>
      </c>
      <c r="C88">
        <v>1601</v>
      </c>
      <c r="D88">
        <v>11</v>
      </c>
      <c r="E88" t="s">
        <v>18</v>
      </c>
      <c r="F88" t="s">
        <v>546</v>
      </c>
      <c r="H88">
        <v>1</v>
      </c>
    </row>
    <row r="89" spans="1:8" x14ac:dyDescent="0.45">
      <c r="A89">
        <v>1.2</v>
      </c>
      <c r="B89" t="s">
        <v>540</v>
      </c>
      <c r="C89">
        <v>1601</v>
      </c>
      <c r="D89">
        <v>12</v>
      </c>
      <c r="E89" t="s">
        <v>5</v>
      </c>
      <c r="F89" t="s">
        <v>141</v>
      </c>
      <c r="G89" t="s">
        <v>171</v>
      </c>
      <c r="H89">
        <v>1</v>
      </c>
    </row>
    <row r="90" spans="1:8" x14ac:dyDescent="0.45">
      <c r="A90">
        <v>1.2</v>
      </c>
      <c r="B90" t="s">
        <v>540</v>
      </c>
      <c r="C90">
        <v>1601</v>
      </c>
      <c r="D90">
        <v>13</v>
      </c>
      <c r="E90" t="s">
        <v>7</v>
      </c>
      <c r="F90" t="s">
        <v>9</v>
      </c>
      <c r="H90">
        <v>1</v>
      </c>
    </row>
    <row r="91" spans="1:8" x14ac:dyDescent="0.45">
      <c r="A91">
        <v>1.2</v>
      </c>
      <c r="B91" t="s">
        <v>540</v>
      </c>
      <c r="C91">
        <v>1601</v>
      </c>
      <c r="D91">
        <v>14</v>
      </c>
      <c r="E91" t="s">
        <v>5</v>
      </c>
      <c r="F91" t="s">
        <v>547</v>
      </c>
      <c r="H91">
        <v>1</v>
      </c>
    </row>
    <row r="92" spans="1:8" x14ac:dyDescent="0.45">
      <c r="A92">
        <v>1.2</v>
      </c>
      <c r="B92" t="s">
        <v>540</v>
      </c>
      <c r="C92">
        <v>1601</v>
      </c>
      <c r="D92">
        <v>15</v>
      </c>
      <c r="E92" t="s">
        <v>5</v>
      </c>
      <c r="F92" t="s">
        <v>548</v>
      </c>
      <c r="H92">
        <v>1</v>
      </c>
    </row>
    <row r="93" spans="1:8" x14ac:dyDescent="0.45">
      <c r="A93">
        <v>1.2</v>
      </c>
      <c r="B93" t="s">
        <v>540</v>
      </c>
      <c r="C93">
        <v>1601</v>
      </c>
      <c r="D93">
        <v>16</v>
      </c>
      <c r="E93" t="s">
        <v>5</v>
      </c>
      <c r="F93" t="s">
        <v>65</v>
      </c>
      <c r="H93">
        <v>1</v>
      </c>
    </row>
    <row r="94" spans="1:8" x14ac:dyDescent="0.45">
      <c r="A94">
        <v>1.2</v>
      </c>
      <c r="B94" t="s">
        <v>540</v>
      </c>
      <c r="C94">
        <v>1601</v>
      </c>
      <c r="D94">
        <v>17</v>
      </c>
      <c r="E94" t="s">
        <v>5</v>
      </c>
      <c r="F94" t="s">
        <v>98</v>
      </c>
      <c r="H94">
        <v>1</v>
      </c>
    </row>
    <row r="95" spans="1:8" x14ac:dyDescent="0.45">
      <c r="A95">
        <v>1.2</v>
      </c>
      <c r="B95" t="s">
        <v>540</v>
      </c>
      <c r="C95">
        <v>1601</v>
      </c>
      <c r="D95">
        <v>18</v>
      </c>
      <c r="E95" t="s">
        <v>5</v>
      </c>
      <c r="F95" t="s">
        <v>139</v>
      </c>
      <c r="H95">
        <v>1</v>
      </c>
    </row>
    <row r="96" spans="1:8" x14ac:dyDescent="0.45">
      <c r="A96">
        <v>1.2</v>
      </c>
      <c r="B96" t="s">
        <v>540</v>
      </c>
      <c r="C96">
        <v>1601</v>
      </c>
      <c r="D96">
        <v>19</v>
      </c>
      <c r="E96" t="s">
        <v>7</v>
      </c>
      <c r="F96" t="s">
        <v>9</v>
      </c>
      <c r="H96">
        <v>1</v>
      </c>
    </row>
    <row r="97" spans="1:8" x14ac:dyDescent="0.45">
      <c r="A97">
        <v>1.2</v>
      </c>
      <c r="B97" t="s">
        <v>540</v>
      </c>
      <c r="C97">
        <v>1201</v>
      </c>
      <c r="D97">
        <v>1</v>
      </c>
      <c r="E97" t="s">
        <v>18</v>
      </c>
      <c r="F97" t="s">
        <v>549</v>
      </c>
      <c r="H97">
        <v>1</v>
      </c>
    </row>
    <row r="98" spans="1:8" x14ac:dyDescent="0.45">
      <c r="A98">
        <v>1.2</v>
      </c>
      <c r="B98" t="s">
        <v>540</v>
      </c>
      <c r="C98">
        <v>1201</v>
      </c>
      <c r="D98">
        <v>2</v>
      </c>
      <c r="E98" t="s">
        <v>5</v>
      </c>
      <c r="F98" t="s">
        <v>50</v>
      </c>
      <c r="H98">
        <v>1</v>
      </c>
    </row>
    <row r="99" spans="1:8" x14ac:dyDescent="0.45">
      <c r="A99">
        <v>1.2</v>
      </c>
      <c r="B99" t="s">
        <v>540</v>
      </c>
      <c r="C99">
        <v>1201</v>
      </c>
      <c r="D99">
        <v>3</v>
      </c>
      <c r="E99" t="s">
        <v>5</v>
      </c>
      <c r="F99" t="s">
        <v>421</v>
      </c>
      <c r="H99">
        <v>1</v>
      </c>
    </row>
    <row r="100" spans="1:8" x14ac:dyDescent="0.45">
      <c r="A100">
        <v>1.2</v>
      </c>
      <c r="B100" t="s">
        <v>540</v>
      </c>
      <c r="C100">
        <v>1201</v>
      </c>
      <c r="D100">
        <v>4</v>
      </c>
      <c r="E100" t="s">
        <v>5</v>
      </c>
      <c r="F100" t="s">
        <v>137</v>
      </c>
      <c r="H100">
        <v>1</v>
      </c>
    </row>
    <row r="101" spans="1:8" x14ac:dyDescent="0.45">
      <c r="A101">
        <v>1.2</v>
      </c>
      <c r="B101" t="s">
        <v>540</v>
      </c>
      <c r="C101">
        <v>1201</v>
      </c>
      <c r="D101">
        <v>5</v>
      </c>
      <c r="E101" t="s">
        <v>18</v>
      </c>
      <c r="F101" t="s">
        <v>226</v>
      </c>
      <c r="H101">
        <v>1</v>
      </c>
    </row>
    <row r="102" spans="1:8" x14ac:dyDescent="0.45">
      <c r="A102">
        <v>1.2</v>
      </c>
      <c r="B102" t="s">
        <v>540</v>
      </c>
      <c r="C102">
        <v>1201</v>
      </c>
      <c r="D102">
        <v>6</v>
      </c>
      <c r="E102" t="s">
        <v>5</v>
      </c>
      <c r="F102" t="s">
        <v>485</v>
      </c>
      <c r="H102">
        <v>1</v>
      </c>
    </row>
    <row r="103" spans="1:8" x14ac:dyDescent="0.45">
      <c r="A103">
        <v>1.2</v>
      </c>
      <c r="B103" t="s">
        <v>540</v>
      </c>
      <c r="C103">
        <v>1201</v>
      </c>
      <c r="D103">
        <v>7</v>
      </c>
      <c r="E103" t="s">
        <v>5</v>
      </c>
      <c r="F103" t="s">
        <v>551</v>
      </c>
      <c r="H103">
        <v>1</v>
      </c>
    </row>
    <row r="104" spans="1:8" x14ac:dyDescent="0.45">
      <c r="A104">
        <v>1.2</v>
      </c>
      <c r="B104" t="s">
        <v>540</v>
      </c>
      <c r="C104">
        <v>1201</v>
      </c>
      <c r="D104">
        <v>8</v>
      </c>
      <c r="E104" t="s">
        <v>7</v>
      </c>
      <c r="F104" t="s">
        <v>11</v>
      </c>
      <c r="H104">
        <v>1</v>
      </c>
    </row>
    <row r="105" spans="1:8" x14ac:dyDescent="0.45">
      <c r="A105">
        <v>1.2</v>
      </c>
      <c r="B105" t="s">
        <v>540</v>
      </c>
      <c r="C105">
        <v>1201</v>
      </c>
      <c r="D105">
        <v>9</v>
      </c>
      <c r="E105" t="s">
        <v>7</v>
      </c>
      <c r="F105" t="s">
        <v>11</v>
      </c>
      <c r="H105">
        <v>1</v>
      </c>
    </row>
    <row r="106" spans="1:8" x14ac:dyDescent="0.45">
      <c r="A106">
        <v>1.2</v>
      </c>
      <c r="B106" t="s">
        <v>540</v>
      </c>
      <c r="C106">
        <v>1201</v>
      </c>
      <c r="D106">
        <v>10</v>
      </c>
      <c r="E106" t="s">
        <v>18</v>
      </c>
      <c r="F106" t="s">
        <v>553</v>
      </c>
      <c r="G106" t="s">
        <v>171</v>
      </c>
      <c r="H106">
        <v>1</v>
      </c>
    </row>
    <row r="107" spans="1:8" x14ac:dyDescent="0.45">
      <c r="A107">
        <v>1.2</v>
      </c>
      <c r="B107" t="s">
        <v>540</v>
      </c>
      <c r="C107">
        <v>1201</v>
      </c>
      <c r="D107">
        <v>11</v>
      </c>
      <c r="E107" t="s">
        <v>5</v>
      </c>
      <c r="F107" t="s">
        <v>492</v>
      </c>
      <c r="G107" t="s">
        <v>171</v>
      </c>
      <c r="H107">
        <v>1</v>
      </c>
    </row>
    <row r="108" spans="1:8" x14ac:dyDescent="0.45">
      <c r="A108">
        <v>1.2</v>
      </c>
      <c r="B108" t="s">
        <v>540</v>
      </c>
      <c r="C108">
        <v>1201</v>
      </c>
      <c r="D108">
        <v>12</v>
      </c>
      <c r="E108" t="s">
        <v>5</v>
      </c>
      <c r="F108" t="s">
        <v>554</v>
      </c>
      <c r="H108">
        <v>1</v>
      </c>
    </row>
    <row r="109" spans="1:8" x14ac:dyDescent="0.45">
      <c r="A109">
        <v>1.2</v>
      </c>
      <c r="B109" t="s">
        <v>540</v>
      </c>
      <c r="C109">
        <v>1201</v>
      </c>
      <c r="D109">
        <v>13</v>
      </c>
      <c r="E109" t="s">
        <v>18</v>
      </c>
      <c r="F109" t="s">
        <v>555</v>
      </c>
      <c r="H109">
        <v>1</v>
      </c>
    </row>
    <row r="110" spans="1:8" x14ac:dyDescent="0.45">
      <c r="A110">
        <v>1.2</v>
      </c>
      <c r="B110" t="s">
        <v>540</v>
      </c>
      <c r="C110">
        <v>1201</v>
      </c>
      <c r="D110">
        <v>14</v>
      </c>
      <c r="E110" t="s">
        <v>5</v>
      </c>
      <c r="F110" t="s">
        <v>556</v>
      </c>
      <c r="H110">
        <v>1</v>
      </c>
    </row>
    <row r="111" spans="1:8" x14ac:dyDescent="0.45">
      <c r="A111">
        <v>1.2</v>
      </c>
      <c r="B111" t="s">
        <v>540</v>
      </c>
      <c r="C111">
        <v>1201</v>
      </c>
      <c r="D111">
        <v>15</v>
      </c>
      <c r="E111" t="s">
        <v>18</v>
      </c>
      <c r="F111" t="s">
        <v>60</v>
      </c>
      <c r="H111">
        <v>1</v>
      </c>
    </row>
    <row r="112" spans="1:8" x14ac:dyDescent="0.45">
      <c r="A112">
        <v>1.2</v>
      </c>
      <c r="B112" t="s">
        <v>540</v>
      </c>
      <c r="C112">
        <v>1201</v>
      </c>
      <c r="D112">
        <v>16</v>
      </c>
      <c r="E112" t="s">
        <v>5</v>
      </c>
      <c r="F112" t="s">
        <v>550</v>
      </c>
      <c r="H112">
        <v>1</v>
      </c>
    </row>
    <row r="113" spans="1:8" x14ac:dyDescent="0.45">
      <c r="A113">
        <v>1.2</v>
      </c>
      <c r="B113" t="s">
        <v>540</v>
      </c>
      <c r="C113">
        <v>1201</v>
      </c>
      <c r="D113">
        <v>17</v>
      </c>
      <c r="E113" t="s">
        <v>18</v>
      </c>
      <c r="F113" t="s">
        <v>552</v>
      </c>
      <c r="H113">
        <v>1</v>
      </c>
    </row>
    <row r="114" spans="1:8" x14ac:dyDescent="0.45">
      <c r="A114">
        <v>1.2</v>
      </c>
      <c r="B114" t="s">
        <v>540</v>
      </c>
      <c r="C114">
        <v>801</v>
      </c>
      <c r="D114">
        <v>1</v>
      </c>
      <c r="E114" t="s">
        <v>18</v>
      </c>
      <c r="F114" t="s">
        <v>559</v>
      </c>
      <c r="H114">
        <v>1</v>
      </c>
    </row>
    <row r="115" spans="1:8" x14ac:dyDescent="0.45">
      <c r="A115">
        <v>1.2</v>
      </c>
      <c r="B115" t="s">
        <v>540</v>
      </c>
      <c r="C115">
        <v>801</v>
      </c>
      <c r="D115">
        <v>2</v>
      </c>
      <c r="E115" t="s">
        <v>7</v>
      </c>
      <c r="F115" t="s">
        <v>11</v>
      </c>
      <c r="H115">
        <v>1</v>
      </c>
    </row>
    <row r="116" spans="1:8" x14ac:dyDescent="0.45">
      <c r="A116">
        <v>1.2</v>
      </c>
      <c r="B116" t="s">
        <v>540</v>
      </c>
      <c r="C116">
        <v>801</v>
      </c>
      <c r="D116">
        <v>3</v>
      </c>
      <c r="E116" t="s">
        <v>7</v>
      </c>
      <c r="F116" t="s">
        <v>9</v>
      </c>
      <c r="H116">
        <v>1</v>
      </c>
    </row>
    <row r="117" spans="1:8" x14ac:dyDescent="0.45">
      <c r="A117">
        <v>1.2</v>
      </c>
      <c r="B117" t="s">
        <v>540</v>
      </c>
      <c r="C117">
        <v>801</v>
      </c>
      <c r="D117">
        <v>4</v>
      </c>
      <c r="E117" t="s">
        <v>7</v>
      </c>
      <c r="F117" t="s">
        <v>10</v>
      </c>
      <c r="H117">
        <v>1</v>
      </c>
    </row>
    <row r="118" spans="1:8" x14ac:dyDescent="0.45">
      <c r="A118">
        <v>1.2</v>
      </c>
      <c r="B118" t="s">
        <v>540</v>
      </c>
      <c r="C118">
        <v>801</v>
      </c>
      <c r="D118">
        <v>5</v>
      </c>
      <c r="E118" t="s">
        <v>5</v>
      </c>
      <c r="F118" t="s">
        <v>407</v>
      </c>
      <c r="H118">
        <v>1</v>
      </c>
    </row>
    <row r="119" spans="1:8" x14ac:dyDescent="0.45">
      <c r="A119">
        <v>1.2</v>
      </c>
      <c r="B119" t="s">
        <v>540</v>
      </c>
      <c r="C119">
        <v>801</v>
      </c>
      <c r="D119">
        <v>6</v>
      </c>
      <c r="E119" t="s">
        <v>7</v>
      </c>
      <c r="F119" t="s">
        <v>9</v>
      </c>
      <c r="H119">
        <v>1</v>
      </c>
    </row>
    <row r="120" spans="1:8" x14ac:dyDescent="0.45">
      <c r="A120">
        <v>1.2</v>
      </c>
      <c r="B120" t="s">
        <v>540</v>
      </c>
      <c r="C120">
        <v>801</v>
      </c>
      <c r="D120">
        <v>7</v>
      </c>
      <c r="E120" t="s">
        <v>5</v>
      </c>
      <c r="F120" t="s">
        <v>324</v>
      </c>
      <c r="H120">
        <v>1</v>
      </c>
    </row>
    <row r="121" spans="1:8" x14ac:dyDescent="0.45">
      <c r="A121">
        <v>1.2</v>
      </c>
      <c r="B121" t="s">
        <v>540</v>
      </c>
      <c r="C121">
        <v>801</v>
      </c>
      <c r="D121">
        <v>8</v>
      </c>
      <c r="E121" t="s">
        <v>7</v>
      </c>
      <c r="F121" t="s">
        <v>11</v>
      </c>
      <c r="H121">
        <v>1</v>
      </c>
    </row>
    <row r="122" spans="1:8" x14ac:dyDescent="0.45">
      <c r="A122">
        <v>1.2</v>
      </c>
      <c r="B122" t="s">
        <v>540</v>
      </c>
      <c r="C122">
        <v>801</v>
      </c>
      <c r="D122">
        <v>9</v>
      </c>
      <c r="E122" t="s">
        <v>5</v>
      </c>
      <c r="F122" t="s">
        <v>560</v>
      </c>
      <c r="H122">
        <v>1</v>
      </c>
    </row>
    <row r="123" spans="1:8" x14ac:dyDescent="0.45">
      <c r="A123">
        <v>1.2</v>
      </c>
      <c r="B123" t="s">
        <v>540</v>
      </c>
      <c r="C123">
        <v>801</v>
      </c>
      <c r="D123">
        <v>10</v>
      </c>
      <c r="E123" t="s">
        <v>5</v>
      </c>
      <c r="F123" t="s">
        <v>219</v>
      </c>
      <c r="H123">
        <v>1</v>
      </c>
    </row>
    <row r="124" spans="1:8" x14ac:dyDescent="0.45">
      <c r="A124">
        <v>1.2</v>
      </c>
      <c r="B124" t="s">
        <v>540</v>
      </c>
      <c r="C124">
        <v>801</v>
      </c>
      <c r="D124">
        <v>11</v>
      </c>
      <c r="E124" t="s">
        <v>5</v>
      </c>
      <c r="F124" t="s">
        <v>129</v>
      </c>
      <c r="H124">
        <v>1</v>
      </c>
    </row>
    <row r="125" spans="1:8" x14ac:dyDescent="0.45">
      <c r="A125">
        <v>1.2</v>
      </c>
      <c r="B125" t="s">
        <v>540</v>
      </c>
      <c r="C125">
        <v>801</v>
      </c>
      <c r="D125">
        <v>12</v>
      </c>
      <c r="E125" t="s">
        <v>5</v>
      </c>
      <c r="F125" t="s">
        <v>506</v>
      </c>
      <c r="H125">
        <v>1</v>
      </c>
    </row>
    <row r="126" spans="1:8" x14ac:dyDescent="0.45">
      <c r="A126">
        <v>1.2</v>
      </c>
      <c r="B126" t="s">
        <v>540</v>
      </c>
      <c r="C126">
        <v>801</v>
      </c>
      <c r="D126">
        <v>13</v>
      </c>
      <c r="E126" t="s">
        <v>18</v>
      </c>
      <c r="F126" t="s">
        <v>557</v>
      </c>
      <c r="G126" t="s">
        <v>171</v>
      </c>
      <c r="H126">
        <v>1</v>
      </c>
    </row>
    <row r="127" spans="1:8" x14ac:dyDescent="0.45">
      <c r="A127">
        <v>1.2</v>
      </c>
      <c r="B127" t="s">
        <v>540</v>
      </c>
      <c r="C127">
        <v>801</v>
      </c>
      <c r="D127">
        <v>14</v>
      </c>
      <c r="E127" t="s">
        <v>5</v>
      </c>
      <c r="F127" t="s">
        <v>218</v>
      </c>
      <c r="G127" t="s">
        <v>171</v>
      </c>
      <c r="H127">
        <v>1</v>
      </c>
    </row>
    <row r="128" spans="1:8" x14ac:dyDescent="0.45">
      <c r="A128">
        <v>1.2</v>
      </c>
      <c r="B128" t="s">
        <v>540</v>
      </c>
      <c r="C128">
        <v>801</v>
      </c>
      <c r="D128">
        <v>15</v>
      </c>
      <c r="E128" t="s">
        <v>7</v>
      </c>
      <c r="F128" t="s">
        <v>10</v>
      </c>
      <c r="H128">
        <v>1</v>
      </c>
    </row>
    <row r="129" spans="1:8" x14ac:dyDescent="0.45">
      <c r="A129">
        <v>1.2</v>
      </c>
      <c r="B129" t="s">
        <v>540</v>
      </c>
      <c r="C129">
        <v>801</v>
      </c>
      <c r="D129">
        <v>16</v>
      </c>
      <c r="E129" t="s">
        <v>5</v>
      </c>
      <c r="F129" t="s">
        <v>85</v>
      </c>
      <c r="G129" t="s">
        <v>171</v>
      </c>
      <c r="H129">
        <v>1</v>
      </c>
    </row>
    <row r="130" spans="1:8" x14ac:dyDescent="0.45">
      <c r="A130">
        <v>1.2</v>
      </c>
      <c r="B130" t="s">
        <v>540</v>
      </c>
      <c r="C130">
        <v>801</v>
      </c>
      <c r="D130">
        <v>17</v>
      </c>
      <c r="E130" t="s">
        <v>5</v>
      </c>
      <c r="F130" t="s">
        <v>220</v>
      </c>
      <c r="H130">
        <v>1</v>
      </c>
    </row>
    <row r="131" spans="1:8" x14ac:dyDescent="0.45">
      <c r="A131">
        <v>1.2</v>
      </c>
      <c r="B131" t="s">
        <v>540</v>
      </c>
      <c r="C131">
        <v>801</v>
      </c>
      <c r="D131">
        <v>18</v>
      </c>
      <c r="E131" t="s">
        <v>5</v>
      </c>
      <c r="F131" t="s">
        <v>558</v>
      </c>
      <c r="H131">
        <v>1</v>
      </c>
    </row>
    <row r="132" spans="1:8" x14ac:dyDescent="0.45">
      <c r="A132">
        <v>1.2</v>
      </c>
      <c r="B132" t="s">
        <v>540</v>
      </c>
      <c r="C132">
        <v>801</v>
      </c>
      <c r="D132">
        <v>19</v>
      </c>
      <c r="E132" t="s">
        <v>18</v>
      </c>
      <c r="F132" t="s">
        <v>561</v>
      </c>
      <c r="H132">
        <v>1</v>
      </c>
    </row>
    <row r="133" spans="1:8" x14ac:dyDescent="0.45">
      <c r="A133">
        <v>1.2</v>
      </c>
      <c r="B133" t="s">
        <v>540</v>
      </c>
      <c r="C133">
        <v>401</v>
      </c>
      <c r="D133">
        <v>1</v>
      </c>
      <c r="E133" t="s">
        <v>7</v>
      </c>
      <c r="F133" t="s">
        <v>9</v>
      </c>
      <c r="H133">
        <v>1</v>
      </c>
    </row>
    <row r="134" spans="1:8" x14ac:dyDescent="0.45">
      <c r="A134">
        <v>1.2</v>
      </c>
      <c r="B134" t="s">
        <v>540</v>
      </c>
      <c r="C134">
        <v>401</v>
      </c>
      <c r="D134">
        <v>2</v>
      </c>
      <c r="E134" t="s">
        <v>7</v>
      </c>
      <c r="F134" t="s">
        <v>9</v>
      </c>
      <c r="H134">
        <v>1</v>
      </c>
    </row>
    <row r="135" spans="1:8" x14ac:dyDescent="0.45">
      <c r="A135">
        <v>1.2</v>
      </c>
      <c r="B135" t="s">
        <v>540</v>
      </c>
      <c r="C135">
        <v>401</v>
      </c>
      <c r="D135">
        <v>3</v>
      </c>
      <c r="E135" t="s">
        <v>7</v>
      </c>
      <c r="F135" t="s">
        <v>10</v>
      </c>
      <c r="H135">
        <v>1</v>
      </c>
    </row>
    <row r="136" spans="1:8" x14ac:dyDescent="0.45">
      <c r="A136">
        <v>1.2</v>
      </c>
      <c r="B136" t="s">
        <v>540</v>
      </c>
      <c r="C136">
        <v>401</v>
      </c>
      <c r="D136">
        <v>4</v>
      </c>
      <c r="E136" t="s">
        <v>5</v>
      </c>
      <c r="F136" t="s">
        <v>276</v>
      </c>
      <c r="H136">
        <v>1</v>
      </c>
    </row>
    <row r="137" spans="1:8" x14ac:dyDescent="0.45">
      <c r="A137">
        <v>1.2</v>
      </c>
      <c r="B137" t="s">
        <v>540</v>
      </c>
      <c r="C137">
        <v>401</v>
      </c>
      <c r="D137">
        <v>5</v>
      </c>
      <c r="E137" t="s">
        <v>5</v>
      </c>
      <c r="F137" t="s">
        <v>244</v>
      </c>
      <c r="H137">
        <v>1</v>
      </c>
    </row>
    <row r="138" spans="1:8" x14ac:dyDescent="0.45">
      <c r="A138">
        <v>1.2</v>
      </c>
      <c r="B138" t="s">
        <v>540</v>
      </c>
      <c r="C138">
        <v>401</v>
      </c>
      <c r="D138">
        <v>6</v>
      </c>
      <c r="E138" t="s">
        <v>18</v>
      </c>
      <c r="F138" t="s">
        <v>562</v>
      </c>
      <c r="H138">
        <v>1</v>
      </c>
    </row>
    <row r="139" spans="1:8" x14ac:dyDescent="0.45">
      <c r="A139">
        <v>1.2</v>
      </c>
      <c r="B139" t="s">
        <v>540</v>
      </c>
      <c r="C139">
        <v>401</v>
      </c>
      <c r="D139">
        <v>7</v>
      </c>
      <c r="E139" t="s">
        <v>7</v>
      </c>
      <c r="F139" t="s">
        <v>10</v>
      </c>
      <c r="H139">
        <v>1</v>
      </c>
    </row>
    <row r="140" spans="1:8" x14ac:dyDescent="0.45">
      <c r="A140">
        <v>1.2</v>
      </c>
      <c r="B140" t="s">
        <v>540</v>
      </c>
      <c r="C140">
        <v>401</v>
      </c>
      <c r="D140">
        <v>8</v>
      </c>
      <c r="E140" t="s">
        <v>5</v>
      </c>
      <c r="F140" t="s">
        <v>21</v>
      </c>
      <c r="G140" t="s">
        <v>171</v>
      </c>
      <c r="H140">
        <v>1</v>
      </c>
    </row>
    <row r="141" spans="1:8" x14ac:dyDescent="0.45">
      <c r="A141">
        <v>1.2</v>
      </c>
      <c r="B141" t="s">
        <v>540</v>
      </c>
      <c r="C141">
        <v>401</v>
      </c>
      <c r="D141">
        <v>9</v>
      </c>
      <c r="E141" t="s">
        <v>5</v>
      </c>
      <c r="F141" t="s">
        <v>119</v>
      </c>
      <c r="H141">
        <v>1</v>
      </c>
    </row>
    <row r="142" spans="1:8" x14ac:dyDescent="0.45">
      <c r="A142">
        <v>1.2</v>
      </c>
      <c r="B142" t="s">
        <v>540</v>
      </c>
      <c r="C142">
        <v>401</v>
      </c>
      <c r="D142">
        <v>10</v>
      </c>
      <c r="E142" t="s">
        <v>7</v>
      </c>
      <c r="F142" t="s">
        <v>11</v>
      </c>
      <c r="H142">
        <v>1</v>
      </c>
    </row>
    <row r="143" spans="1:8" x14ac:dyDescent="0.45">
      <c r="A143">
        <v>1.2</v>
      </c>
      <c r="B143" t="s">
        <v>540</v>
      </c>
      <c r="C143">
        <v>401</v>
      </c>
      <c r="D143">
        <v>11</v>
      </c>
      <c r="E143" t="s">
        <v>7</v>
      </c>
      <c r="F143" t="s">
        <v>11</v>
      </c>
      <c r="H143">
        <v>1</v>
      </c>
    </row>
    <row r="144" spans="1:8" x14ac:dyDescent="0.45">
      <c r="A144">
        <v>1.2</v>
      </c>
      <c r="B144" t="s">
        <v>540</v>
      </c>
      <c r="C144">
        <v>401</v>
      </c>
      <c r="D144">
        <v>12</v>
      </c>
      <c r="E144" t="s">
        <v>5</v>
      </c>
      <c r="F144" t="s">
        <v>393</v>
      </c>
      <c r="G144" t="s">
        <v>171</v>
      </c>
      <c r="H144">
        <v>1</v>
      </c>
    </row>
    <row r="145" spans="1:8" x14ac:dyDescent="0.45">
      <c r="A145">
        <v>1.2</v>
      </c>
      <c r="B145" t="s">
        <v>540</v>
      </c>
      <c r="C145">
        <v>401</v>
      </c>
      <c r="D145">
        <v>13</v>
      </c>
      <c r="E145" t="s">
        <v>7</v>
      </c>
      <c r="F145" t="s">
        <v>9</v>
      </c>
      <c r="H145">
        <v>1</v>
      </c>
    </row>
    <row r="146" spans="1:8" x14ac:dyDescent="0.45">
      <c r="A146">
        <v>1.2</v>
      </c>
      <c r="B146" t="s">
        <v>540</v>
      </c>
      <c r="C146">
        <v>401</v>
      </c>
      <c r="D146">
        <v>14</v>
      </c>
      <c r="E146" t="s">
        <v>5</v>
      </c>
      <c r="F146" t="s">
        <v>564</v>
      </c>
      <c r="G146" t="s">
        <v>171</v>
      </c>
      <c r="H146">
        <v>1</v>
      </c>
    </row>
    <row r="147" spans="1:8" x14ac:dyDescent="0.45">
      <c r="A147">
        <v>1.2</v>
      </c>
      <c r="B147" t="s">
        <v>540</v>
      </c>
      <c r="C147">
        <v>401</v>
      </c>
      <c r="D147">
        <v>15</v>
      </c>
      <c r="E147" t="s">
        <v>5</v>
      </c>
      <c r="F147" t="s">
        <v>563</v>
      </c>
      <c r="H147">
        <v>1</v>
      </c>
    </row>
    <row r="148" spans="1:8" x14ac:dyDescent="0.45">
      <c r="A148">
        <v>1.2</v>
      </c>
      <c r="B148" t="s">
        <v>540</v>
      </c>
      <c r="C148">
        <v>401</v>
      </c>
      <c r="D148">
        <v>16</v>
      </c>
      <c r="E148" t="s">
        <v>5</v>
      </c>
      <c r="F148" t="s">
        <v>245</v>
      </c>
      <c r="H148">
        <v>1</v>
      </c>
    </row>
    <row r="149" spans="1:8" x14ac:dyDescent="0.45">
      <c r="A149">
        <v>1.2</v>
      </c>
      <c r="B149" t="s">
        <v>540</v>
      </c>
      <c r="C149">
        <v>401</v>
      </c>
      <c r="D149">
        <v>17</v>
      </c>
      <c r="E149" t="s">
        <v>7</v>
      </c>
      <c r="F149" t="s">
        <v>10</v>
      </c>
      <c r="H149">
        <v>1</v>
      </c>
    </row>
    <row r="150" spans="1:8" x14ac:dyDescent="0.45">
      <c r="A150">
        <v>1.2</v>
      </c>
      <c r="B150" t="s">
        <v>540</v>
      </c>
      <c r="C150">
        <v>401</v>
      </c>
      <c r="D150">
        <v>18</v>
      </c>
      <c r="E150" t="s">
        <v>18</v>
      </c>
      <c r="F150" t="s">
        <v>242</v>
      </c>
      <c r="H150">
        <v>1</v>
      </c>
    </row>
    <row r="151" spans="1:8" x14ac:dyDescent="0.45">
      <c r="A151">
        <v>1.2</v>
      </c>
      <c r="B151" t="s">
        <v>540</v>
      </c>
      <c r="C151">
        <v>1</v>
      </c>
      <c r="D151">
        <v>1</v>
      </c>
      <c r="E151" t="s">
        <v>7</v>
      </c>
      <c r="F151" t="s">
        <v>11</v>
      </c>
      <c r="H151">
        <v>1</v>
      </c>
    </row>
    <row r="152" spans="1:8" x14ac:dyDescent="0.45">
      <c r="A152">
        <v>1.2</v>
      </c>
      <c r="B152" t="s">
        <v>540</v>
      </c>
      <c r="C152">
        <v>1</v>
      </c>
      <c r="D152">
        <v>2</v>
      </c>
      <c r="E152" t="s">
        <v>7</v>
      </c>
      <c r="F152" t="s">
        <v>11</v>
      </c>
      <c r="H152">
        <v>1</v>
      </c>
    </row>
    <row r="153" spans="1:8" x14ac:dyDescent="0.45">
      <c r="A153">
        <v>1.2</v>
      </c>
      <c r="B153" t="s">
        <v>540</v>
      </c>
      <c r="C153">
        <v>1</v>
      </c>
      <c r="D153">
        <v>3</v>
      </c>
      <c r="E153" t="s">
        <v>18</v>
      </c>
      <c r="F153" t="s">
        <v>108</v>
      </c>
      <c r="H153">
        <v>1</v>
      </c>
    </row>
    <row r="154" spans="1:8" x14ac:dyDescent="0.45">
      <c r="A154">
        <v>1.2</v>
      </c>
      <c r="B154" t="s">
        <v>540</v>
      </c>
      <c r="C154">
        <v>1</v>
      </c>
      <c r="D154">
        <v>4</v>
      </c>
      <c r="E154" t="s">
        <v>5</v>
      </c>
      <c r="F154" t="s">
        <v>565</v>
      </c>
      <c r="G154" t="s">
        <v>171</v>
      </c>
      <c r="H154">
        <v>1</v>
      </c>
    </row>
    <row r="155" spans="1:8" x14ac:dyDescent="0.45">
      <c r="A155">
        <v>1.2</v>
      </c>
      <c r="B155" t="s">
        <v>540</v>
      </c>
      <c r="C155">
        <v>1</v>
      </c>
      <c r="D155">
        <v>5</v>
      </c>
      <c r="E155" t="s">
        <v>7</v>
      </c>
      <c r="F155" t="s">
        <v>10</v>
      </c>
      <c r="H155">
        <v>1</v>
      </c>
    </row>
    <row r="156" spans="1:8" x14ac:dyDescent="0.45">
      <c r="A156">
        <v>1.2</v>
      </c>
      <c r="B156" t="s">
        <v>540</v>
      </c>
      <c r="C156">
        <v>1</v>
      </c>
      <c r="D156">
        <v>6</v>
      </c>
      <c r="E156" t="s">
        <v>7</v>
      </c>
      <c r="F156" t="s">
        <v>10</v>
      </c>
      <c r="H156">
        <v>1</v>
      </c>
    </row>
    <row r="157" spans="1:8" x14ac:dyDescent="0.45">
      <c r="A157">
        <v>1.2</v>
      </c>
      <c r="B157" t="s">
        <v>540</v>
      </c>
      <c r="C157">
        <v>1</v>
      </c>
      <c r="D157">
        <v>7</v>
      </c>
      <c r="E157" t="s">
        <v>7</v>
      </c>
      <c r="F157" t="s">
        <v>10</v>
      </c>
      <c r="H157">
        <v>1</v>
      </c>
    </row>
    <row r="158" spans="1:8" x14ac:dyDescent="0.45">
      <c r="A158">
        <v>1.2</v>
      </c>
      <c r="B158" t="s">
        <v>540</v>
      </c>
      <c r="C158">
        <v>1</v>
      </c>
      <c r="D158">
        <v>8</v>
      </c>
      <c r="E158" t="s">
        <v>5</v>
      </c>
      <c r="F158" t="s">
        <v>105</v>
      </c>
      <c r="G158" t="s">
        <v>171</v>
      </c>
      <c r="H158">
        <v>1</v>
      </c>
    </row>
    <row r="159" spans="1:8" x14ac:dyDescent="0.45">
      <c r="A159">
        <v>1.2</v>
      </c>
      <c r="B159" t="s">
        <v>540</v>
      </c>
      <c r="C159">
        <v>1</v>
      </c>
      <c r="D159">
        <v>9</v>
      </c>
      <c r="E159" t="s">
        <v>5</v>
      </c>
      <c r="F159" t="s">
        <v>208</v>
      </c>
      <c r="H159">
        <v>1</v>
      </c>
    </row>
    <row r="160" spans="1:8" x14ac:dyDescent="0.45">
      <c r="A160">
        <v>1.2</v>
      </c>
      <c r="B160" t="s">
        <v>540</v>
      </c>
      <c r="C160">
        <v>1</v>
      </c>
      <c r="D160">
        <v>10</v>
      </c>
      <c r="E160" t="s">
        <v>18</v>
      </c>
      <c r="F160" t="s">
        <v>567</v>
      </c>
      <c r="H160">
        <v>1</v>
      </c>
    </row>
    <row r="161" spans="1:8" x14ac:dyDescent="0.45">
      <c r="A161">
        <v>1.2</v>
      </c>
      <c r="B161" t="s">
        <v>540</v>
      </c>
      <c r="C161">
        <v>1</v>
      </c>
      <c r="D161">
        <v>11</v>
      </c>
      <c r="E161" t="s">
        <v>7</v>
      </c>
      <c r="F161" t="s">
        <v>9</v>
      </c>
      <c r="H161">
        <v>1</v>
      </c>
    </row>
    <row r="162" spans="1:8" x14ac:dyDescent="0.45">
      <c r="A162">
        <v>1.2</v>
      </c>
      <c r="B162" t="s">
        <v>540</v>
      </c>
      <c r="C162">
        <v>1</v>
      </c>
      <c r="D162">
        <v>12</v>
      </c>
      <c r="E162" t="s">
        <v>5</v>
      </c>
      <c r="F162" t="s">
        <v>568</v>
      </c>
      <c r="H162">
        <v>1</v>
      </c>
    </row>
    <row r="163" spans="1:8" x14ac:dyDescent="0.45">
      <c r="A163">
        <v>1.2</v>
      </c>
      <c r="B163" t="s">
        <v>540</v>
      </c>
      <c r="C163">
        <v>1</v>
      </c>
      <c r="D163">
        <v>13</v>
      </c>
      <c r="E163" t="s">
        <v>7</v>
      </c>
      <c r="F163" t="s">
        <v>11</v>
      </c>
      <c r="H163">
        <v>1</v>
      </c>
    </row>
    <row r="164" spans="1:8" x14ac:dyDescent="0.45">
      <c r="A164">
        <v>1.2</v>
      </c>
      <c r="B164" t="s">
        <v>540</v>
      </c>
      <c r="C164">
        <v>1</v>
      </c>
      <c r="D164">
        <v>14</v>
      </c>
      <c r="E164" t="s">
        <v>7</v>
      </c>
      <c r="F164" t="s">
        <v>9</v>
      </c>
      <c r="H164">
        <v>1</v>
      </c>
    </row>
    <row r="165" spans="1:8" x14ac:dyDescent="0.45">
      <c r="A165">
        <v>1.2</v>
      </c>
      <c r="B165" t="s">
        <v>540</v>
      </c>
      <c r="C165">
        <v>1</v>
      </c>
      <c r="D165">
        <v>15</v>
      </c>
      <c r="E165" t="s">
        <v>18</v>
      </c>
      <c r="F165" t="s">
        <v>569</v>
      </c>
      <c r="H165">
        <v>1</v>
      </c>
    </row>
    <row r="166" spans="1:8" x14ac:dyDescent="0.45">
      <c r="A166">
        <v>1.2</v>
      </c>
      <c r="B166" t="s">
        <v>540</v>
      </c>
      <c r="C166">
        <v>1</v>
      </c>
      <c r="D166">
        <v>16</v>
      </c>
      <c r="E166" t="s">
        <v>5</v>
      </c>
      <c r="F166" t="s">
        <v>566</v>
      </c>
      <c r="H166">
        <v>1</v>
      </c>
    </row>
    <row r="167" spans="1:8" x14ac:dyDescent="0.45">
      <c r="A167">
        <v>1.2</v>
      </c>
      <c r="B167" t="s">
        <v>540</v>
      </c>
      <c r="C167">
        <v>1</v>
      </c>
      <c r="D167">
        <v>17</v>
      </c>
      <c r="E167" t="s">
        <v>7</v>
      </c>
      <c r="F167" t="s">
        <v>10</v>
      </c>
      <c r="H167">
        <v>1</v>
      </c>
    </row>
    <row r="168" spans="1:8" x14ac:dyDescent="0.45">
      <c r="A168">
        <v>1.2</v>
      </c>
      <c r="B168" t="s">
        <v>540</v>
      </c>
      <c r="C168">
        <v>1</v>
      </c>
      <c r="D168">
        <v>18</v>
      </c>
      <c r="E168" t="s">
        <v>5</v>
      </c>
      <c r="F168" t="s">
        <v>566</v>
      </c>
      <c r="H168">
        <v>1</v>
      </c>
    </row>
    <row r="169" spans="1:8" x14ac:dyDescent="0.45">
      <c r="A169">
        <v>1.2</v>
      </c>
      <c r="D169">
        <v>1</v>
      </c>
      <c r="H169">
        <v>1</v>
      </c>
    </row>
    <row r="170" spans="1:8" x14ac:dyDescent="0.45">
      <c r="A170">
        <v>1.2</v>
      </c>
      <c r="D170">
        <v>2</v>
      </c>
      <c r="H170">
        <v>1</v>
      </c>
    </row>
    <row r="171" spans="1:8" x14ac:dyDescent="0.45">
      <c r="A171">
        <v>1.2</v>
      </c>
      <c r="H171">
        <v>1</v>
      </c>
    </row>
    <row r="172" spans="1:8" x14ac:dyDescent="0.45">
      <c r="A172">
        <v>1.2</v>
      </c>
      <c r="H172">
        <v>1</v>
      </c>
    </row>
    <row r="173" spans="1:8" x14ac:dyDescent="0.45">
      <c r="A173">
        <v>1.2</v>
      </c>
      <c r="H173">
        <v>1</v>
      </c>
    </row>
    <row r="174" spans="1:8" x14ac:dyDescent="0.45">
      <c r="A174">
        <v>1.2</v>
      </c>
      <c r="H174">
        <v>1</v>
      </c>
    </row>
    <row r="175" spans="1:8" x14ac:dyDescent="0.45">
      <c r="A175">
        <v>1.2</v>
      </c>
      <c r="H175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9C39-F3AE-4D2C-A022-9A3EA8C69509}">
  <dimension ref="A1:M205"/>
  <sheetViews>
    <sheetView workbookViewId="0">
      <pane ySplit="3" topLeftCell="A4" activePane="bottomLeft" state="frozen"/>
      <selection pane="bottomLeft" activeCell="J9" sqref="J9"/>
    </sheetView>
  </sheetViews>
  <sheetFormatPr defaultRowHeight="14.25" x14ac:dyDescent="0.45"/>
  <cols>
    <col min="13" max="13" width="9.06640625" customWidth="1"/>
  </cols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1.1000000000000001</v>
      </c>
      <c r="B2" t="s">
        <v>379</v>
      </c>
      <c r="C2">
        <v>1</v>
      </c>
      <c r="D2">
        <v>1</v>
      </c>
      <c r="E2" t="s">
        <v>7</v>
      </c>
      <c r="F2" t="s">
        <v>9</v>
      </c>
      <c r="H2">
        <v>1</v>
      </c>
      <c r="I2" t="s">
        <v>5</v>
      </c>
      <c r="J2">
        <f>COUNTIFS(E:E,"*F*",H:H,1)</f>
        <v>82</v>
      </c>
      <c r="K2">
        <f>J2+J3</f>
        <v>104</v>
      </c>
      <c r="L2">
        <f>J2/K2</f>
        <v>0.78846153846153844</v>
      </c>
      <c r="M2">
        <f>SQRT(L2*L3/K2)</f>
        <v>4.0046840462667342E-2</v>
      </c>
    </row>
    <row r="3" spans="1:13" x14ac:dyDescent="0.45">
      <c r="A3">
        <v>1.1000000000000001</v>
      </c>
      <c r="B3" t="s">
        <v>379</v>
      </c>
      <c r="C3">
        <v>1</v>
      </c>
      <c r="D3">
        <v>2</v>
      </c>
      <c r="E3" t="s">
        <v>5</v>
      </c>
      <c r="F3" t="s">
        <v>380</v>
      </c>
      <c r="H3">
        <v>1</v>
      </c>
      <c r="I3" t="s">
        <v>18</v>
      </c>
      <c r="J3">
        <f>COUNTIFS(E:E,"*B*",H:H,1)</f>
        <v>22</v>
      </c>
      <c r="L3">
        <f>J3/K2</f>
        <v>0.21153846153846154</v>
      </c>
    </row>
    <row r="4" spans="1:13" x14ac:dyDescent="0.45">
      <c r="A4">
        <v>1.1000000000000001</v>
      </c>
      <c r="B4" t="s">
        <v>379</v>
      </c>
      <c r="C4">
        <v>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78</v>
      </c>
    </row>
    <row r="5" spans="1:13" x14ac:dyDescent="0.45">
      <c r="A5">
        <v>1.1000000000000001</v>
      </c>
      <c r="B5" t="s">
        <v>379</v>
      </c>
      <c r="C5">
        <v>1</v>
      </c>
      <c r="D5">
        <v>4</v>
      </c>
      <c r="E5" t="s">
        <v>7</v>
      </c>
      <c r="F5" t="s">
        <v>381</v>
      </c>
      <c r="H5">
        <v>1</v>
      </c>
    </row>
    <row r="6" spans="1:13" x14ac:dyDescent="0.45">
      <c r="A6">
        <v>1.1000000000000001</v>
      </c>
      <c r="B6" t="s">
        <v>379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1.1000000000000001</v>
      </c>
      <c r="B7" t="s">
        <v>379</v>
      </c>
      <c r="C7">
        <v>1</v>
      </c>
      <c r="D7">
        <v>6</v>
      </c>
      <c r="E7" t="s">
        <v>5</v>
      </c>
      <c r="F7" t="s">
        <v>382</v>
      </c>
      <c r="H7">
        <v>1</v>
      </c>
    </row>
    <row r="8" spans="1:13" x14ac:dyDescent="0.45">
      <c r="A8">
        <v>1.1000000000000001</v>
      </c>
      <c r="B8" t="s">
        <v>379</v>
      </c>
      <c r="C8">
        <v>1</v>
      </c>
      <c r="D8">
        <v>7</v>
      </c>
      <c r="E8" t="s">
        <v>5</v>
      </c>
      <c r="F8" t="s">
        <v>315</v>
      </c>
      <c r="H8">
        <v>1</v>
      </c>
    </row>
    <row r="9" spans="1:13" x14ac:dyDescent="0.45">
      <c r="A9">
        <v>1.1000000000000001</v>
      </c>
      <c r="B9" t="s">
        <v>379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1.1000000000000001</v>
      </c>
      <c r="B10" t="s">
        <v>379</v>
      </c>
      <c r="C10">
        <v>1</v>
      </c>
      <c r="D10">
        <v>9</v>
      </c>
      <c r="E10" t="s">
        <v>7</v>
      </c>
      <c r="F10" t="s">
        <v>10</v>
      </c>
      <c r="H10">
        <v>1</v>
      </c>
    </row>
    <row r="11" spans="1:13" x14ac:dyDescent="0.45">
      <c r="A11">
        <v>1.1000000000000001</v>
      </c>
      <c r="B11" t="s">
        <v>379</v>
      </c>
      <c r="C11">
        <v>1</v>
      </c>
      <c r="D11">
        <v>10</v>
      </c>
      <c r="E11" t="s">
        <v>7</v>
      </c>
      <c r="F11" t="s">
        <v>10</v>
      </c>
      <c r="H11">
        <v>1</v>
      </c>
    </row>
    <row r="12" spans="1:13" x14ac:dyDescent="0.45">
      <c r="A12">
        <v>1.1000000000000001</v>
      </c>
      <c r="B12" t="s">
        <v>379</v>
      </c>
      <c r="C12">
        <v>1</v>
      </c>
      <c r="D12">
        <v>11</v>
      </c>
      <c r="E12" t="s">
        <v>7</v>
      </c>
      <c r="F12" t="s">
        <v>9</v>
      </c>
      <c r="H12">
        <v>1</v>
      </c>
    </row>
    <row r="13" spans="1:13" x14ac:dyDescent="0.45">
      <c r="A13">
        <v>1.1000000000000001</v>
      </c>
      <c r="B13" t="s">
        <v>379</v>
      </c>
      <c r="C13">
        <v>1</v>
      </c>
      <c r="D13">
        <v>12</v>
      </c>
      <c r="E13" t="s">
        <v>7</v>
      </c>
      <c r="F13" t="s">
        <v>10</v>
      </c>
      <c r="H13">
        <v>1</v>
      </c>
    </row>
    <row r="14" spans="1:13" x14ac:dyDescent="0.45">
      <c r="A14">
        <v>1.1000000000000001</v>
      </c>
      <c r="B14" t="s">
        <v>379</v>
      </c>
      <c r="C14">
        <v>1</v>
      </c>
      <c r="D14">
        <v>13</v>
      </c>
      <c r="E14" t="s">
        <v>7</v>
      </c>
      <c r="F14" t="s">
        <v>9</v>
      </c>
      <c r="H14">
        <v>1</v>
      </c>
    </row>
    <row r="15" spans="1:13" x14ac:dyDescent="0.45">
      <c r="A15">
        <v>1.1000000000000001</v>
      </c>
      <c r="B15" t="s">
        <v>379</v>
      </c>
      <c r="C15">
        <v>1</v>
      </c>
      <c r="D15">
        <v>14</v>
      </c>
      <c r="E15" t="s">
        <v>7</v>
      </c>
      <c r="F15" t="s">
        <v>9</v>
      </c>
      <c r="H15">
        <v>1</v>
      </c>
    </row>
    <row r="16" spans="1:13" x14ac:dyDescent="0.45">
      <c r="A16">
        <v>1.1000000000000001</v>
      </c>
      <c r="B16" t="s">
        <v>379</v>
      </c>
      <c r="C16">
        <v>1</v>
      </c>
      <c r="D16">
        <v>15</v>
      </c>
      <c r="E16" t="s">
        <v>18</v>
      </c>
      <c r="F16" t="s">
        <v>383</v>
      </c>
      <c r="H16">
        <v>1</v>
      </c>
    </row>
    <row r="17" spans="1:8" x14ac:dyDescent="0.45">
      <c r="A17">
        <v>1.1000000000000001</v>
      </c>
      <c r="B17" t="s">
        <v>379</v>
      </c>
      <c r="C17">
        <v>1</v>
      </c>
      <c r="D17">
        <v>16</v>
      </c>
      <c r="E17" t="s">
        <v>18</v>
      </c>
      <c r="F17" t="s">
        <v>384</v>
      </c>
      <c r="H17">
        <v>1</v>
      </c>
    </row>
    <row r="18" spans="1:8" x14ac:dyDescent="0.45">
      <c r="A18">
        <v>1.1000000000000001</v>
      </c>
      <c r="B18" t="s">
        <v>379</v>
      </c>
      <c r="C18">
        <v>1</v>
      </c>
      <c r="D18">
        <v>17</v>
      </c>
      <c r="E18" t="s">
        <v>7</v>
      </c>
      <c r="F18" t="s">
        <v>11</v>
      </c>
      <c r="H18">
        <v>1</v>
      </c>
    </row>
    <row r="19" spans="1:8" x14ac:dyDescent="0.45">
      <c r="A19">
        <v>1.1000000000000001</v>
      </c>
      <c r="B19" t="s">
        <v>379</v>
      </c>
      <c r="C19">
        <v>1</v>
      </c>
      <c r="D19">
        <v>18</v>
      </c>
      <c r="E19" t="s">
        <v>7</v>
      </c>
      <c r="F19" t="s">
        <v>11</v>
      </c>
      <c r="H19">
        <v>1</v>
      </c>
    </row>
    <row r="20" spans="1:8" x14ac:dyDescent="0.45">
      <c r="A20">
        <v>1.1000000000000001</v>
      </c>
      <c r="B20" t="s">
        <v>379</v>
      </c>
      <c r="C20">
        <v>1</v>
      </c>
      <c r="D20">
        <v>19</v>
      </c>
      <c r="E20" t="s">
        <v>5</v>
      </c>
      <c r="F20" t="s">
        <v>385</v>
      </c>
      <c r="G20" t="s">
        <v>171</v>
      </c>
      <c r="H20">
        <v>1</v>
      </c>
    </row>
    <row r="21" spans="1:8" x14ac:dyDescent="0.45">
      <c r="A21">
        <v>1.1000000000000001</v>
      </c>
      <c r="B21" t="s">
        <v>379</v>
      </c>
      <c r="C21">
        <v>1</v>
      </c>
      <c r="D21">
        <v>20</v>
      </c>
      <c r="E21" t="s">
        <v>7</v>
      </c>
      <c r="F21" t="s">
        <v>10</v>
      </c>
      <c r="H21">
        <v>1</v>
      </c>
    </row>
    <row r="22" spans="1:8" x14ac:dyDescent="0.45">
      <c r="A22">
        <v>1.1000000000000001</v>
      </c>
      <c r="B22" t="s">
        <v>379</v>
      </c>
      <c r="C22">
        <v>1</v>
      </c>
      <c r="D22">
        <v>21</v>
      </c>
      <c r="E22" t="s">
        <v>7</v>
      </c>
      <c r="F22" t="s">
        <v>10</v>
      </c>
      <c r="H22">
        <v>1</v>
      </c>
    </row>
    <row r="23" spans="1:8" x14ac:dyDescent="0.45">
      <c r="A23">
        <v>1.1000000000000001</v>
      </c>
      <c r="B23" t="s">
        <v>379</v>
      </c>
      <c r="C23">
        <v>1</v>
      </c>
      <c r="D23">
        <v>22</v>
      </c>
      <c r="E23" t="s">
        <v>7</v>
      </c>
      <c r="F23" t="s">
        <v>9</v>
      </c>
      <c r="H23">
        <v>1</v>
      </c>
    </row>
    <row r="24" spans="1:8" x14ac:dyDescent="0.45">
      <c r="A24">
        <v>1.1000000000000001</v>
      </c>
      <c r="B24" t="s">
        <v>379</v>
      </c>
      <c r="C24">
        <v>1</v>
      </c>
      <c r="D24">
        <v>23</v>
      </c>
      <c r="E24" t="s">
        <v>5</v>
      </c>
      <c r="F24" t="s">
        <v>386</v>
      </c>
      <c r="H24">
        <v>1</v>
      </c>
    </row>
    <row r="25" spans="1:8" x14ac:dyDescent="0.45">
      <c r="A25">
        <v>1.1000000000000001</v>
      </c>
      <c r="B25" t="s">
        <v>379</v>
      </c>
      <c r="C25">
        <v>1</v>
      </c>
      <c r="D25">
        <v>24</v>
      </c>
      <c r="E25" t="s">
        <v>18</v>
      </c>
      <c r="F25" t="s">
        <v>155</v>
      </c>
      <c r="G25" t="s">
        <v>171</v>
      </c>
      <c r="H25">
        <v>1</v>
      </c>
    </row>
    <row r="26" spans="1:8" x14ac:dyDescent="0.45">
      <c r="A26">
        <v>1.1000000000000001</v>
      </c>
      <c r="B26" t="s">
        <v>379</v>
      </c>
      <c r="C26">
        <v>1</v>
      </c>
      <c r="D26">
        <v>25</v>
      </c>
      <c r="E26" t="s">
        <v>5</v>
      </c>
      <c r="F26" t="s">
        <v>238</v>
      </c>
      <c r="H26">
        <v>1</v>
      </c>
    </row>
    <row r="27" spans="1:8" x14ac:dyDescent="0.45">
      <c r="A27">
        <v>1.1000000000000001</v>
      </c>
      <c r="B27" t="s">
        <v>379</v>
      </c>
      <c r="C27">
        <v>1</v>
      </c>
      <c r="D27">
        <v>26</v>
      </c>
      <c r="E27" t="s">
        <v>7</v>
      </c>
      <c r="F27" t="s">
        <v>9</v>
      </c>
      <c r="H27">
        <v>1</v>
      </c>
    </row>
    <row r="28" spans="1:8" x14ac:dyDescent="0.45">
      <c r="A28">
        <v>1.1000000000000001</v>
      </c>
      <c r="B28" t="s">
        <v>379</v>
      </c>
      <c r="C28">
        <v>1</v>
      </c>
      <c r="D28">
        <v>27</v>
      </c>
      <c r="E28" t="s">
        <v>7</v>
      </c>
      <c r="F28" t="s">
        <v>9</v>
      </c>
      <c r="H28">
        <v>1</v>
      </c>
    </row>
    <row r="29" spans="1:8" x14ac:dyDescent="0.45">
      <c r="A29">
        <v>1.1000000000000001</v>
      </c>
      <c r="B29" t="s">
        <v>379</v>
      </c>
      <c r="C29">
        <v>1</v>
      </c>
      <c r="D29">
        <v>28</v>
      </c>
      <c r="E29" t="s">
        <v>5</v>
      </c>
      <c r="F29" t="s">
        <v>387</v>
      </c>
      <c r="H29">
        <v>1</v>
      </c>
    </row>
    <row r="30" spans="1:8" x14ac:dyDescent="0.45">
      <c r="A30">
        <v>1.1000000000000001</v>
      </c>
      <c r="B30" t="s">
        <v>379</v>
      </c>
      <c r="C30">
        <v>1</v>
      </c>
      <c r="D30">
        <v>29</v>
      </c>
      <c r="E30" t="s">
        <v>7</v>
      </c>
      <c r="F30" t="s">
        <v>11</v>
      </c>
      <c r="H30">
        <v>1</v>
      </c>
    </row>
    <row r="31" spans="1:8" x14ac:dyDescent="0.45">
      <c r="A31">
        <v>1.1000000000000001</v>
      </c>
      <c r="B31" t="s">
        <v>379</v>
      </c>
      <c r="C31">
        <v>1</v>
      </c>
      <c r="D31">
        <v>30</v>
      </c>
      <c r="E31" t="s">
        <v>7</v>
      </c>
      <c r="F31" t="s">
        <v>9</v>
      </c>
      <c r="H31">
        <v>1</v>
      </c>
    </row>
    <row r="32" spans="1:8" x14ac:dyDescent="0.45">
      <c r="A32">
        <v>1.1000000000000001</v>
      </c>
      <c r="B32" t="s">
        <v>379</v>
      </c>
      <c r="C32">
        <v>401</v>
      </c>
      <c r="D32">
        <v>1</v>
      </c>
      <c r="E32" t="s">
        <v>7</v>
      </c>
      <c r="F32" t="s">
        <v>10</v>
      </c>
      <c r="H32">
        <v>1</v>
      </c>
    </row>
    <row r="33" spans="1:8" x14ac:dyDescent="0.45">
      <c r="A33">
        <v>1.1000000000000001</v>
      </c>
      <c r="B33" t="s">
        <v>379</v>
      </c>
      <c r="C33">
        <v>401</v>
      </c>
      <c r="D33">
        <v>2</v>
      </c>
      <c r="E33" t="s">
        <v>7</v>
      </c>
      <c r="F33" t="s">
        <v>9</v>
      </c>
      <c r="H33">
        <v>1</v>
      </c>
    </row>
    <row r="34" spans="1:8" x14ac:dyDescent="0.45">
      <c r="A34">
        <v>1.1000000000000001</v>
      </c>
      <c r="B34" t="s">
        <v>379</v>
      </c>
      <c r="C34">
        <v>401</v>
      </c>
      <c r="D34">
        <v>3</v>
      </c>
      <c r="E34" t="s">
        <v>18</v>
      </c>
      <c r="F34" t="s">
        <v>21</v>
      </c>
      <c r="H34">
        <v>1</v>
      </c>
    </row>
    <row r="35" spans="1:8" x14ac:dyDescent="0.45">
      <c r="A35">
        <v>1.1000000000000001</v>
      </c>
      <c r="B35" t="s">
        <v>379</v>
      </c>
      <c r="C35">
        <v>401</v>
      </c>
      <c r="D35">
        <v>4</v>
      </c>
      <c r="E35" t="s">
        <v>5</v>
      </c>
      <c r="F35" t="s">
        <v>245</v>
      </c>
      <c r="G35" t="s">
        <v>171</v>
      </c>
      <c r="H35">
        <v>1</v>
      </c>
    </row>
    <row r="36" spans="1:8" x14ac:dyDescent="0.45">
      <c r="A36">
        <v>1.1000000000000001</v>
      </c>
      <c r="B36" t="s">
        <v>379</v>
      </c>
      <c r="C36">
        <v>401</v>
      </c>
      <c r="D36">
        <v>5</v>
      </c>
      <c r="E36" t="s">
        <v>18</v>
      </c>
      <c r="F36" t="s">
        <v>388</v>
      </c>
      <c r="H36">
        <v>1</v>
      </c>
    </row>
    <row r="37" spans="1:8" x14ac:dyDescent="0.45">
      <c r="A37">
        <v>1.1000000000000001</v>
      </c>
      <c r="B37" t="s">
        <v>379</v>
      </c>
      <c r="C37">
        <v>401</v>
      </c>
      <c r="D37">
        <v>6</v>
      </c>
      <c r="E37" t="s">
        <v>5</v>
      </c>
      <c r="F37" t="s">
        <v>389</v>
      </c>
      <c r="H37">
        <v>1</v>
      </c>
    </row>
    <row r="38" spans="1:8" x14ac:dyDescent="0.45">
      <c r="A38">
        <v>1.1000000000000001</v>
      </c>
      <c r="B38" t="s">
        <v>379</v>
      </c>
      <c r="C38">
        <v>401</v>
      </c>
      <c r="D38">
        <v>7</v>
      </c>
      <c r="E38" t="s">
        <v>7</v>
      </c>
      <c r="F38" t="s">
        <v>381</v>
      </c>
      <c r="H38">
        <v>1</v>
      </c>
    </row>
    <row r="39" spans="1:8" x14ac:dyDescent="0.45">
      <c r="A39">
        <v>1.1000000000000001</v>
      </c>
      <c r="B39" t="s">
        <v>379</v>
      </c>
      <c r="C39">
        <v>401</v>
      </c>
      <c r="D39">
        <v>8</v>
      </c>
      <c r="E39" t="s">
        <v>5</v>
      </c>
      <c r="F39" t="s">
        <v>390</v>
      </c>
      <c r="H39">
        <v>1</v>
      </c>
    </row>
    <row r="40" spans="1:8" x14ac:dyDescent="0.45">
      <c r="A40">
        <v>1.1000000000000001</v>
      </c>
      <c r="B40" t="s">
        <v>379</v>
      </c>
      <c r="C40">
        <v>401</v>
      </c>
      <c r="D40">
        <v>9</v>
      </c>
      <c r="E40" t="s">
        <v>5</v>
      </c>
      <c r="F40" t="s">
        <v>391</v>
      </c>
      <c r="H40">
        <v>1</v>
      </c>
    </row>
    <row r="41" spans="1:8" x14ac:dyDescent="0.45">
      <c r="A41">
        <v>1.1000000000000001</v>
      </c>
      <c r="B41" t="s">
        <v>379</v>
      </c>
      <c r="C41">
        <v>401</v>
      </c>
      <c r="D41">
        <v>10</v>
      </c>
      <c r="E41" t="s">
        <v>5</v>
      </c>
      <c r="F41" t="s">
        <v>119</v>
      </c>
      <c r="H41">
        <v>1</v>
      </c>
    </row>
    <row r="42" spans="1:8" x14ac:dyDescent="0.45">
      <c r="A42">
        <v>1.1000000000000001</v>
      </c>
      <c r="B42" t="s">
        <v>379</v>
      </c>
      <c r="C42">
        <v>401</v>
      </c>
      <c r="D42">
        <v>11</v>
      </c>
      <c r="E42" t="s">
        <v>5</v>
      </c>
      <c r="F42" t="s">
        <v>77</v>
      </c>
      <c r="H42">
        <v>1</v>
      </c>
    </row>
    <row r="43" spans="1:8" x14ac:dyDescent="0.45">
      <c r="A43">
        <v>1.1000000000000001</v>
      </c>
      <c r="B43" t="s">
        <v>379</v>
      </c>
      <c r="C43">
        <v>401</v>
      </c>
      <c r="D43">
        <v>12</v>
      </c>
      <c r="E43" t="s">
        <v>7</v>
      </c>
      <c r="F43" t="s">
        <v>10</v>
      </c>
      <c r="H43">
        <v>1</v>
      </c>
    </row>
    <row r="44" spans="1:8" x14ac:dyDescent="0.45">
      <c r="A44">
        <v>1.1000000000000001</v>
      </c>
      <c r="B44" t="s">
        <v>379</v>
      </c>
      <c r="C44">
        <v>401</v>
      </c>
      <c r="D44">
        <v>13</v>
      </c>
      <c r="E44" t="s">
        <v>18</v>
      </c>
      <c r="F44" t="s">
        <v>392</v>
      </c>
      <c r="G44" t="s">
        <v>171</v>
      </c>
      <c r="H44">
        <v>1</v>
      </c>
    </row>
    <row r="45" spans="1:8" x14ac:dyDescent="0.45">
      <c r="A45">
        <v>1.1000000000000001</v>
      </c>
      <c r="B45" t="s">
        <v>379</v>
      </c>
      <c r="C45">
        <v>401</v>
      </c>
      <c r="D45">
        <v>14</v>
      </c>
      <c r="E45" t="s">
        <v>7</v>
      </c>
      <c r="F45" t="s">
        <v>10</v>
      </c>
      <c r="H45">
        <v>1</v>
      </c>
    </row>
    <row r="46" spans="1:8" x14ac:dyDescent="0.45">
      <c r="A46">
        <v>1.1000000000000001</v>
      </c>
      <c r="B46" t="s">
        <v>379</v>
      </c>
      <c r="C46">
        <v>401</v>
      </c>
      <c r="D46">
        <v>15</v>
      </c>
      <c r="E46" t="s">
        <v>5</v>
      </c>
      <c r="F46" t="s">
        <v>393</v>
      </c>
      <c r="H46">
        <v>1</v>
      </c>
    </row>
    <row r="47" spans="1:8" x14ac:dyDescent="0.45">
      <c r="A47">
        <v>1.1000000000000001</v>
      </c>
      <c r="B47" t="s">
        <v>379</v>
      </c>
      <c r="C47">
        <v>401</v>
      </c>
      <c r="D47">
        <v>16</v>
      </c>
      <c r="E47" t="s">
        <v>7</v>
      </c>
      <c r="F47" t="s">
        <v>10</v>
      </c>
      <c r="H47">
        <v>1</v>
      </c>
    </row>
    <row r="48" spans="1:8" x14ac:dyDescent="0.45">
      <c r="A48">
        <v>1.1000000000000001</v>
      </c>
      <c r="B48" t="s">
        <v>379</v>
      </c>
      <c r="C48">
        <v>401</v>
      </c>
      <c r="D48">
        <v>17</v>
      </c>
      <c r="E48" t="s">
        <v>18</v>
      </c>
      <c r="F48" t="s">
        <v>394</v>
      </c>
      <c r="G48" t="s">
        <v>171</v>
      </c>
      <c r="H48">
        <v>1</v>
      </c>
    </row>
    <row r="49" spans="1:8" x14ac:dyDescent="0.45">
      <c r="A49">
        <v>1.1000000000000001</v>
      </c>
      <c r="B49" t="s">
        <v>379</v>
      </c>
      <c r="C49">
        <v>401</v>
      </c>
      <c r="D49">
        <v>18</v>
      </c>
      <c r="E49" t="s">
        <v>5</v>
      </c>
      <c r="F49" t="s">
        <v>118</v>
      </c>
      <c r="H49">
        <v>1</v>
      </c>
    </row>
    <row r="50" spans="1:8" x14ac:dyDescent="0.45">
      <c r="A50">
        <v>1.1000000000000001</v>
      </c>
      <c r="B50" t="s">
        <v>379</v>
      </c>
      <c r="C50">
        <v>401</v>
      </c>
      <c r="D50">
        <v>19</v>
      </c>
      <c r="E50" t="s">
        <v>5</v>
      </c>
      <c r="F50" t="s">
        <v>395</v>
      </c>
      <c r="G50" t="s">
        <v>171</v>
      </c>
      <c r="H50">
        <v>1</v>
      </c>
    </row>
    <row r="51" spans="1:8" x14ac:dyDescent="0.45">
      <c r="A51">
        <v>1.1000000000000001</v>
      </c>
      <c r="B51" t="s">
        <v>379</v>
      </c>
      <c r="C51">
        <v>401</v>
      </c>
      <c r="D51">
        <v>20</v>
      </c>
      <c r="E51" t="s">
        <v>5</v>
      </c>
      <c r="F51" t="s">
        <v>396</v>
      </c>
      <c r="H51">
        <v>1</v>
      </c>
    </row>
    <row r="52" spans="1:8" x14ac:dyDescent="0.45">
      <c r="A52">
        <v>1.1000000000000001</v>
      </c>
      <c r="B52" t="s">
        <v>379</v>
      </c>
      <c r="C52">
        <v>401</v>
      </c>
      <c r="D52">
        <v>21</v>
      </c>
      <c r="E52" t="s">
        <v>7</v>
      </c>
      <c r="F52" t="s">
        <v>10</v>
      </c>
      <c r="H52">
        <v>1</v>
      </c>
    </row>
    <row r="53" spans="1:8" x14ac:dyDescent="0.45">
      <c r="A53">
        <v>1.1000000000000001</v>
      </c>
      <c r="B53" t="s">
        <v>379</v>
      </c>
      <c r="C53">
        <v>401</v>
      </c>
      <c r="D53">
        <v>22</v>
      </c>
      <c r="E53" t="s">
        <v>7</v>
      </c>
      <c r="F53" t="s">
        <v>10</v>
      </c>
      <c r="H53">
        <v>1</v>
      </c>
    </row>
    <row r="54" spans="1:8" x14ac:dyDescent="0.45">
      <c r="A54">
        <v>1.1000000000000001</v>
      </c>
      <c r="B54" t="s">
        <v>379</v>
      </c>
      <c r="C54">
        <v>401</v>
      </c>
      <c r="D54">
        <v>23</v>
      </c>
      <c r="E54" t="s">
        <v>5</v>
      </c>
      <c r="F54" t="s">
        <v>397</v>
      </c>
      <c r="H54">
        <v>1</v>
      </c>
    </row>
    <row r="55" spans="1:8" x14ac:dyDescent="0.45">
      <c r="A55">
        <v>1.1000000000000001</v>
      </c>
      <c r="B55" t="s">
        <v>379</v>
      </c>
      <c r="C55">
        <v>401</v>
      </c>
      <c r="D55">
        <v>24</v>
      </c>
      <c r="E55" t="s">
        <v>18</v>
      </c>
      <c r="F55" t="s">
        <v>398</v>
      </c>
      <c r="H55">
        <v>1</v>
      </c>
    </row>
    <row r="56" spans="1:8" x14ac:dyDescent="0.45">
      <c r="A56">
        <v>1.1000000000000001</v>
      </c>
      <c r="B56" t="s">
        <v>379</v>
      </c>
      <c r="C56">
        <v>401</v>
      </c>
      <c r="D56">
        <v>25</v>
      </c>
      <c r="E56" t="s">
        <v>5</v>
      </c>
      <c r="F56" t="s">
        <v>399</v>
      </c>
      <c r="H56">
        <v>1</v>
      </c>
    </row>
    <row r="57" spans="1:8" x14ac:dyDescent="0.45">
      <c r="A57">
        <v>1.1000000000000001</v>
      </c>
      <c r="B57" t="s">
        <v>379</v>
      </c>
      <c r="C57">
        <v>401</v>
      </c>
      <c r="D57">
        <v>26</v>
      </c>
      <c r="E57" t="s">
        <v>7</v>
      </c>
      <c r="F57" t="s">
        <v>11</v>
      </c>
      <c r="H57">
        <v>1</v>
      </c>
    </row>
    <row r="58" spans="1:8" x14ac:dyDescent="0.45">
      <c r="A58">
        <v>1.1000000000000001</v>
      </c>
      <c r="B58" t="s">
        <v>379</v>
      </c>
      <c r="C58">
        <v>801</v>
      </c>
      <c r="D58">
        <v>1</v>
      </c>
      <c r="E58" t="s">
        <v>7</v>
      </c>
      <c r="F58" t="s">
        <v>10</v>
      </c>
      <c r="H58">
        <v>1</v>
      </c>
    </row>
    <row r="59" spans="1:8" x14ac:dyDescent="0.45">
      <c r="A59">
        <v>1.1000000000000001</v>
      </c>
      <c r="B59" t="s">
        <v>379</v>
      </c>
      <c r="C59">
        <v>801</v>
      </c>
      <c r="D59">
        <v>2</v>
      </c>
      <c r="E59" t="s">
        <v>5</v>
      </c>
      <c r="F59" t="s">
        <v>129</v>
      </c>
      <c r="H59">
        <v>1</v>
      </c>
    </row>
    <row r="60" spans="1:8" x14ac:dyDescent="0.45">
      <c r="A60">
        <v>1.1000000000000001</v>
      </c>
      <c r="B60" t="s">
        <v>379</v>
      </c>
      <c r="C60">
        <v>801</v>
      </c>
      <c r="D60">
        <v>3</v>
      </c>
      <c r="E60" t="s">
        <v>5</v>
      </c>
      <c r="F60" t="s">
        <v>401</v>
      </c>
      <c r="H60">
        <v>1</v>
      </c>
    </row>
    <row r="61" spans="1:8" x14ac:dyDescent="0.45">
      <c r="A61">
        <v>1.1000000000000001</v>
      </c>
      <c r="B61" t="s">
        <v>379</v>
      </c>
      <c r="C61">
        <v>801</v>
      </c>
      <c r="D61">
        <v>4</v>
      </c>
      <c r="E61" t="s">
        <v>5</v>
      </c>
      <c r="F61" t="s">
        <v>402</v>
      </c>
      <c r="H61">
        <v>1</v>
      </c>
    </row>
    <row r="62" spans="1:8" x14ac:dyDescent="0.45">
      <c r="A62">
        <v>1.1000000000000001</v>
      </c>
      <c r="B62" t="s">
        <v>379</v>
      </c>
      <c r="C62">
        <v>801</v>
      </c>
      <c r="D62">
        <v>5</v>
      </c>
      <c r="E62" t="s">
        <v>5</v>
      </c>
      <c r="F62" t="s">
        <v>403</v>
      </c>
      <c r="G62" t="s">
        <v>171</v>
      </c>
      <c r="H62">
        <v>1</v>
      </c>
    </row>
    <row r="63" spans="1:8" x14ac:dyDescent="0.45">
      <c r="A63">
        <v>1.1000000000000001</v>
      </c>
      <c r="B63" t="s">
        <v>379</v>
      </c>
      <c r="C63">
        <v>801</v>
      </c>
      <c r="D63">
        <v>6</v>
      </c>
      <c r="E63" t="s">
        <v>7</v>
      </c>
      <c r="F63" t="s">
        <v>10</v>
      </c>
      <c r="H63">
        <v>1</v>
      </c>
    </row>
    <row r="64" spans="1:8" x14ac:dyDescent="0.45">
      <c r="A64">
        <v>1.1000000000000001</v>
      </c>
      <c r="B64" t="s">
        <v>379</v>
      </c>
      <c r="C64">
        <v>801</v>
      </c>
      <c r="D64">
        <v>7</v>
      </c>
      <c r="E64" t="s">
        <v>5</v>
      </c>
      <c r="F64" t="s">
        <v>404</v>
      </c>
      <c r="H64">
        <v>1</v>
      </c>
    </row>
    <row r="65" spans="1:8" x14ac:dyDescent="0.45">
      <c r="A65">
        <v>1.1000000000000001</v>
      </c>
      <c r="B65" t="s">
        <v>379</v>
      </c>
      <c r="C65">
        <v>801</v>
      </c>
      <c r="D65">
        <v>8</v>
      </c>
      <c r="E65" t="s">
        <v>5</v>
      </c>
      <c r="F65" t="s">
        <v>405</v>
      </c>
      <c r="H65">
        <v>1</v>
      </c>
    </row>
    <row r="66" spans="1:8" x14ac:dyDescent="0.45">
      <c r="A66">
        <v>1.1000000000000001</v>
      </c>
      <c r="B66" t="s">
        <v>379</v>
      </c>
      <c r="C66">
        <v>801</v>
      </c>
      <c r="D66">
        <v>9</v>
      </c>
      <c r="E66" t="s">
        <v>5</v>
      </c>
      <c r="F66" t="s">
        <v>218</v>
      </c>
      <c r="H66">
        <v>1</v>
      </c>
    </row>
    <row r="67" spans="1:8" x14ac:dyDescent="0.45">
      <c r="A67">
        <v>1.1000000000000001</v>
      </c>
      <c r="B67" t="s">
        <v>379</v>
      </c>
      <c r="C67">
        <v>801</v>
      </c>
      <c r="D67">
        <v>10</v>
      </c>
      <c r="E67" t="s">
        <v>5</v>
      </c>
      <c r="F67" t="s">
        <v>406</v>
      </c>
      <c r="H67">
        <v>1</v>
      </c>
    </row>
    <row r="68" spans="1:8" x14ac:dyDescent="0.45">
      <c r="A68">
        <v>1.1000000000000001</v>
      </c>
      <c r="B68" t="s">
        <v>379</v>
      </c>
      <c r="C68">
        <v>801</v>
      </c>
      <c r="D68">
        <v>11</v>
      </c>
      <c r="E68" t="s">
        <v>5</v>
      </c>
      <c r="F68" t="s">
        <v>220</v>
      </c>
      <c r="H68">
        <v>1</v>
      </c>
    </row>
    <row r="69" spans="1:8" x14ac:dyDescent="0.45">
      <c r="A69">
        <v>1.1000000000000001</v>
      </c>
      <c r="B69" t="s">
        <v>379</v>
      </c>
      <c r="C69">
        <v>801</v>
      </c>
      <c r="D69">
        <v>12</v>
      </c>
      <c r="E69" t="s">
        <v>7</v>
      </c>
      <c r="F69" t="s">
        <v>10</v>
      </c>
      <c r="H69">
        <v>1</v>
      </c>
    </row>
    <row r="70" spans="1:8" x14ac:dyDescent="0.45">
      <c r="A70">
        <v>1.1000000000000001</v>
      </c>
      <c r="B70" t="s">
        <v>379</v>
      </c>
      <c r="C70">
        <v>801</v>
      </c>
      <c r="D70">
        <v>13</v>
      </c>
      <c r="E70" t="s">
        <v>5</v>
      </c>
      <c r="F70" t="s">
        <v>407</v>
      </c>
      <c r="H70">
        <v>1</v>
      </c>
    </row>
    <row r="71" spans="1:8" x14ac:dyDescent="0.45">
      <c r="A71">
        <v>1.1000000000000001</v>
      </c>
      <c r="B71" t="s">
        <v>379</v>
      </c>
      <c r="C71">
        <v>801</v>
      </c>
      <c r="D71">
        <v>14</v>
      </c>
      <c r="E71" t="s">
        <v>7</v>
      </c>
      <c r="F71" t="s">
        <v>11</v>
      </c>
      <c r="H71">
        <v>1</v>
      </c>
    </row>
    <row r="72" spans="1:8" x14ac:dyDescent="0.45">
      <c r="A72">
        <v>1.1000000000000001</v>
      </c>
      <c r="B72" t="s">
        <v>379</v>
      </c>
      <c r="C72">
        <v>801</v>
      </c>
      <c r="D72">
        <v>15</v>
      </c>
      <c r="E72" t="s">
        <v>18</v>
      </c>
      <c r="F72" t="s">
        <v>408</v>
      </c>
      <c r="H72">
        <v>1</v>
      </c>
    </row>
    <row r="73" spans="1:8" x14ac:dyDescent="0.45">
      <c r="A73">
        <v>1.1000000000000001</v>
      </c>
      <c r="B73" t="s">
        <v>379</v>
      </c>
      <c r="C73">
        <v>801</v>
      </c>
      <c r="D73">
        <v>16</v>
      </c>
      <c r="E73" t="s">
        <v>18</v>
      </c>
      <c r="F73" t="s">
        <v>403</v>
      </c>
      <c r="H73">
        <v>1</v>
      </c>
    </row>
    <row r="74" spans="1:8" x14ac:dyDescent="0.45">
      <c r="A74">
        <v>1.1000000000000001</v>
      </c>
      <c r="B74" t="s">
        <v>379</v>
      </c>
      <c r="C74">
        <v>801</v>
      </c>
      <c r="D74">
        <v>17</v>
      </c>
      <c r="E74" t="s">
        <v>5</v>
      </c>
      <c r="F74" t="s">
        <v>409</v>
      </c>
      <c r="G74" t="s">
        <v>171</v>
      </c>
      <c r="H74">
        <v>1</v>
      </c>
    </row>
    <row r="75" spans="1:8" x14ac:dyDescent="0.45">
      <c r="A75">
        <v>1.1000000000000001</v>
      </c>
      <c r="B75" t="s">
        <v>379</v>
      </c>
      <c r="C75">
        <v>801</v>
      </c>
      <c r="D75">
        <v>18</v>
      </c>
      <c r="E75" t="s">
        <v>7</v>
      </c>
      <c r="F75" t="s">
        <v>10</v>
      </c>
      <c r="H75">
        <v>1</v>
      </c>
    </row>
    <row r="76" spans="1:8" x14ac:dyDescent="0.45">
      <c r="A76">
        <v>1.1000000000000001</v>
      </c>
      <c r="B76" t="s">
        <v>379</v>
      </c>
      <c r="C76">
        <v>801</v>
      </c>
      <c r="D76">
        <v>19</v>
      </c>
      <c r="E76" t="s">
        <v>5</v>
      </c>
      <c r="F76" t="s">
        <v>410</v>
      </c>
      <c r="H76">
        <v>1</v>
      </c>
    </row>
    <row r="77" spans="1:8" x14ac:dyDescent="0.45">
      <c r="A77">
        <v>1.1000000000000001</v>
      </c>
      <c r="B77" t="s">
        <v>379</v>
      </c>
      <c r="C77">
        <v>801</v>
      </c>
      <c r="D77">
        <v>20</v>
      </c>
      <c r="E77" t="s">
        <v>5</v>
      </c>
      <c r="F77" t="s">
        <v>411</v>
      </c>
      <c r="H77">
        <v>1</v>
      </c>
    </row>
    <row r="78" spans="1:8" x14ac:dyDescent="0.45">
      <c r="A78">
        <v>1.1000000000000001</v>
      </c>
      <c r="B78" t="s">
        <v>379</v>
      </c>
      <c r="C78">
        <v>801</v>
      </c>
      <c r="D78">
        <v>21</v>
      </c>
      <c r="E78" t="s">
        <v>5</v>
      </c>
      <c r="F78" t="s">
        <v>219</v>
      </c>
      <c r="H78">
        <v>1</v>
      </c>
    </row>
    <row r="79" spans="1:8" x14ac:dyDescent="0.45">
      <c r="A79">
        <v>1.1000000000000001</v>
      </c>
      <c r="B79" t="s">
        <v>379</v>
      </c>
      <c r="C79">
        <v>801</v>
      </c>
      <c r="D79">
        <v>22</v>
      </c>
      <c r="E79" t="s">
        <v>5</v>
      </c>
      <c r="F79" t="s">
        <v>46</v>
      </c>
      <c r="G79" t="s">
        <v>171</v>
      </c>
      <c r="H79">
        <v>1</v>
      </c>
    </row>
    <row r="80" spans="1:8" x14ac:dyDescent="0.45">
      <c r="A80">
        <v>1.1000000000000001</v>
      </c>
      <c r="B80" t="s">
        <v>379</v>
      </c>
      <c r="C80">
        <v>801</v>
      </c>
      <c r="D80">
        <v>23</v>
      </c>
      <c r="E80" t="s">
        <v>5</v>
      </c>
      <c r="F80" t="s">
        <v>172</v>
      </c>
      <c r="G80" t="s">
        <v>171</v>
      </c>
      <c r="H80">
        <v>1</v>
      </c>
    </row>
    <row r="81" spans="1:8" x14ac:dyDescent="0.45">
      <c r="A81">
        <v>1.1000000000000001</v>
      </c>
      <c r="B81" t="s">
        <v>379</v>
      </c>
      <c r="C81">
        <v>801</v>
      </c>
      <c r="D81">
        <v>24</v>
      </c>
      <c r="E81" t="s">
        <v>7</v>
      </c>
      <c r="F81" t="s">
        <v>9</v>
      </c>
      <c r="H81">
        <v>1</v>
      </c>
    </row>
    <row r="82" spans="1:8" x14ac:dyDescent="0.45">
      <c r="A82">
        <v>1.1000000000000001</v>
      </c>
      <c r="B82" t="s">
        <v>379</v>
      </c>
      <c r="C82">
        <v>801</v>
      </c>
      <c r="D82">
        <v>25</v>
      </c>
      <c r="E82" t="s">
        <v>7</v>
      </c>
      <c r="F82" t="s">
        <v>9</v>
      </c>
      <c r="H82">
        <v>1</v>
      </c>
    </row>
    <row r="83" spans="1:8" x14ac:dyDescent="0.45">
      <c r="A83">
        <v>1.1000000000000001</v>
      </c>
      <c r="B83" t="s">
        <v>379</v>
      </c>
      <c r="C83">
        <v>801</v>
      </c>
      <c r="D83">
        <v>26</v>
      </c>
      <c r="E83" t="s">
        <v>5</v>
      </c>
      <c r="F83" t="s">
        <v>129</v>
      </c>
      <c r="H83">
        <v>1</v>
      </c>
    </row>
    <row r="84" spans="1:8" x14ac:dyDescent="0.45">
      <c r="A84">
        <v>1.1000000000000001</v>
      </c>
      <c r="B84" t="s">
        <v>379</v>
      </c>
      <c r="C84">
        <v>801</v>
      </c>
      <c r="D84">
        <v>27</v>
      </c>
      <c r="E84" t="s">
        <v>7</v>
      </c>
      <c r="F84" t="s">
        <v>11</v>
      </c>
      <c r="H84">
        <v>1</v>
      </c>
    </row>
    <row r="85" spans="1:8" x14ac:dyDescent="0.45">
      <c r="A85">
        <v>1.1000000000000001</v>
      </c>
      <c r="B85" t="s">
        <v>379</v>
      </c>
      <c r="C85">
        <v>801</v>
      </c>
      <c r="D85">
        <v>28</v>
      </c>
      <c r="E85" t="s">
        <v>18</v>
      </c>
      <c r="F85" t="s">
        <v>518</v>
      </c>
      <c r="H85">
        <v>1</v>
      </c>
    </row>
    <row r="86" spans="1:8" x14ac:dyDescent="0.45">
      <c r="A86">
        <v>1.1000000000000001</v>
      </c>
      <c r="B86" t="s">
        <v>379</v>
      </c>
      <c r="C86">
        <v>801</v>
      </c>
      <c r="D86">
        <v>29</v>
      </c>
      <c r="E86" t="s">
        <v>7</v>
      </c>
      <c r="F86" t="s">
        <v>11</v>
      </c>
      <c r="H86">
        <v>1</v>
      </c>
    </row>
    <row r="87" spans="1:8" x14ac:dyDescent="0.45">
      <c r="A87">
        <v>1.1000000000000001</v>
      </c>
      <c r="B87" t="s">
        <v>379</v>
      </c>
      <c r="C87">
        <v>801</v>
      </c>
      <c r="D87">
        <v>30</v>
      </c>
      <c r="E87" t="s">
        <v>7</v>
      </c>
      <c r="F87" t="s">
        <v>11</v>
      </c>
      <c r="H87">
        <v>1</v>
      </c>
    </row>
    <row r="88" spans="1:8" x14ac:dyDescent="0.45">
      <c r="A88">
        <v>1.1000000000000001</v>
      </c>
      <c r="B88" t="s">
        <v>379</v>
      </c>
      <c r="C88">
        <v>801</v>
      </c>
      <c r="D88">
        <v>31</v>
      </c>
      <c r="E88" t="s">
        <v>7</v>
      </c>
      <c r="F88" t="s">
        <v>11</v>
      </c>
      <c r="H88">
        <v>1</v>
      </c>
    </row>
    <row r="89" spans="1:8" x14ac:dyDescent="0.45">
      <c r="A89">
        <v>1.1000000000000001</v>
      </c>
      <c r="B89" t="s">
        <v>379</v>
      </c>
      <c r="C89">
        <v>801</v>
      </c>
      <c r="D89">
        <v>32</v>
      </c>
      <c r="E89" t="s">
        <v>18</v>
      </c>
      <c r="F89" t="s">
        <v>519</v>
      </c>
      <c r="H89">
        <v>1</v>
      </c>
    </row>
    <row r="90" spans="1:8" x14ac:dyDescent="0.45">
      <c r="A90">
        <v>1.1000000000000001</v>
      </c>
      <c r="B90" t="s">
        <v>379</v>
      </c>
      <c r="C90">
        <v>1201</v>
      </c>
      <c r="D90">
        <v>1</v>
      </c>
      <c r="E90" t="s">
        <v>7</v>
      </c>
      <c r="F90" t="s">
        <v>11</v>
      </c>
      <c r="H90">
        <v>1</v>
      </c>
    </row>
    <row r="91" spans="1:8" x14ac:dyDescent="0.45">
      <c r="A91">
        <v>1.1000000000000001</v>
      </c>
      <c r="B91" t="s">
        <v>379</v>
      </c>
      <c r="C91">
        <v>1201</v>
      </c>
      <c r="D91">
        <v>2</v>
      </c>
      <c r="E91" t="s">
        <v>7</v>
      </c>
      <c r="F91" t="s">
        <v>11</v>
      </c>
      <c r="H91">
        <v>1</v>
      </c>
    </row>
    <row r="92" spans="1:8" x14ac:dyDescent="0.45">
      <c r="A92">
        <v>1.1000000000000001</v>
      </c>
      <c r="B92" t="s">
        <v>379</v>
      </c>
      <c r="C92">
        <v>1201</v>
      </c>
      <c r="D92">
        <v>3</v>
      </c>
      <c r="E92" t="s">
        <v>7</v>
      </c>
      <c r="F92" t="s">
        <v>11</v>
      </c>
      <c r="H92">
        <v>1</v>
      </c>
    </row>
    <row r="93" spans="1:8" x14ac:dyDescent="0.45">
      <c r="A93">
        <v>1.1000000000000001</v>
      </c>
      <c r="B93" t="s">
        <v>379</v>
      </c>
      <c r="C93">
        <v>1201</v>
      </c>
      <c r="D93">
        <v>4</v>
      </c>
      <c r="E93" t="s">
        <v>7</v>
      </c>
      <c r="F93" t="s">
        <v>10</v>
      </c>
      <c r="H93">
        <v>1</v>
      </c>
    </row>
    <row r="94" spans="1:8" x14ac:dyDescent="0.45">
      <c r="A94">
        <v>1.1000000000000001</v>
      </c>
      <c r="B94" t="s">
        <v>379</v>
      </c>
      <c r="C94">
        <v>1201</v>
      </c>
      <c r="D94">
        <v>5</v>
      </c>
      <c r="E94" t="s">
        <v>5</v>
      </c>
      <c r="F94" t="s">
        <v>412</v>
      </c>
      <c r="H94">
        <v>1</v>
      </c>
    </row>
    <row r="95" spans="1:8" x14ac:dyDescent="0.45">
      <c r="A95">
        <v>1.1000000000000001</v>
      </c>
      <c r="B95" t="s">
        <v>379</v>
      </c>
      <c r="C95">
        <v>1201</v>
      </c>
      <c r="D95">
        <v>6</v>
      </c>
      <c r="E95" t="s">
        <v>5</v>
      </c>
      <c r="F95" t="s">
        <v>415</v>
      </c>
      <c r="H95">
        <v>1</v>
      </c>
    </row>
    <row r="96" spans="1:8" x14ac:dyDescent="0.45">
      <c r="A96">
        <v>1.1000000000000001</v>
      </c>
      <c r="B96" t="s">
        <v>379</v>
      </c>
      <c r="C96">
        <v>1201</v>
      </c>
      <c r="D96">
        <v>7</v>
      </c>
      <c r="E96" t="s">
        <v>7</v>
      </c>
      <c r="F96" t="s">
        <v>11</v>
      </c>
      <c r="H96">
        <v>1</v>
      </c>
    </row>
    <row r="97" spans="1:8" x14ac:dyDescent="0.45">
      <c r="A97">
        <v>1.1000000000000001</v>
      </c>
      <c r="B97" t="s">
        <v>379</v>
      </c>
      <c r="C97">
        <v>1201</v>
      </c>
      <c r="D97">
        <v>8</v>
      </c>
      <c r="E97" t="s">
        <v>7</v>
      </c>
      <c r="F97" t="s">
        <v>11</v>
      </c>
      <c r="H97">
        <v>1</v>
      </c>
    </row>
    <row r="98" spans="1:8" x14ac:dyDescent="0.45">
      <c r="A98">
        <v>1.1000000000000001</v>
      </c>
      <c r="B98" t="s">
        <v>379</v>
      </c>
      <c r="C98">
        <v>1201</v>
      </c>
      <c r="D98">
        <v>9</v>
      </c>
      <c r="E98" t="s">
        <v>5</v>
      </c>
      <c r="F98" t="s">
        <v>49</v>
      </c>
      <c r="G98" t="s">
        <v>171</v>
      </c>
      <c r="H98">
        <v>1</v>
      </c>
    </row>
    <row r="99" spans="1:8" x14ac:dyDescent="0.45">
      <c r="A99">
        <v>1.1000000000000001</v>
      </c>
      <c r="B99" t="s">
        <v>379</v>
      </c>
      <c r="C99">
        <v>1201</v>
      </c>
      <c r="D99">
        <v>10</v>
      </c>
      <c r="E99" t="s">
        <v>7</v>
      </c>
      <c r="F99" t="s">
        <v>10</v>
      </c>
      <c r="H99">
        <v>1</v>
      </c>
    </row>
    <row r="100" spans="1:8" x14ac:dyDescent="0.45">
      <c r="A100">
        <v>1.1000000000000001</v>
      </c>
      <c r="B100" t="s">
        <v>379</v>
      </c>
      <c r="C100">
        <v>1201</v>
      </c>
      <c r="D100">
        <v>11</v>
      </c>
      <c r="E100" t="s">
        <v>5</v>
      </c>
      <c r="F100" t="s">
        <v>416</v>
      </c>
      <c r="H100">
        <v>1</v>
      </c>
    </row>
    <row r="101" spans="1:8" x14ac:dyDescent="0.45">
      <c r="A101">
        <v>1.1000000000000001</v>
      </c>
      <c r="B101" t="s">
        <v>379</v>
      </c>
      <c r="C101">
        <v>1201</v>
      </c>
      <c r="D101">
        <v>12</v>
      </c>
      <c r="E101" t="s">
        <v>5</v>
      </c>
      <c r="F101" t="s">
        <v>520</v>
      </c>
      <c r="H101">
        <v>1</v>
      </c>
    </row>
    <row r="102" spans="1:8" x14ac:dyDescent="0.45">
      <c r="A102">
        <v>1.1000000000000001</v>
      </c>
      <c r="B102" t="s">
        <v>379</v>
      </c>
      <c r="C102">
        <v>1201</v>
      </c>
      <c r="D102">
        <v>13</v>
      </c>
      <c r="E102" t="s">
        <v>5</v>
      </c>
      <c r="F102" t="s">
        <v>416</v>
      </c>
      <c r="H102">
        <v>1</v>
      </c>
    </row>
    <row r="103" spans="1:8" x14ac:dyDescent="0.45">
      <c r="A103">
        <v>1.1000000000000001</v>
      </c>
      <c r="B103" t="s">
        <v>379</v>
      </c>
      <c r="C103">
        <v>1201</v>
      </c>
      <c r="D103">
        <v>14</v>
      </c>
      <c r="E103" t="s">
        <v>5</v>
      </c>
      <c r="F103" t="s">
        <v>417</v>
      </c>
      <c r="H103">
        <v>1</v>
      </c>
    </row>
    <row r="104" spans="1:8" x14ac:dyDescent="0.45">
      <c r="A104">
        <v>1.1000000000000001</v>
      </c>
      <c r="B104" t="s">
        <v>379</v>
      </c>
      <c r="C104">
        <v>1201</v>
      </c>
      <c r="D104">
        <v>15</v>
      </c>
      <c r="E104" t="s">
        <v>7</v>
      </c>
      <c r="F104" t="s">
        <v>10</v>
      </c>
      <c r="H104">
        <v>1</v>
      </c>
    </row>
    <row r="105" spans="1:8" x14ac:dyDescent="0.45">
      <c r="A105">
        <v>1.1000000000000001</v>
      </c>
      <c r="B105" t="s">
        <v>379</v>
      </c>
      <c r="C105">
        <v>1201</v>
      </c>
      <c r="D105">
        <v>16</v>
      </c>
      <c r="E105" t="s">
        <v>5</v>
      </c>
      <c r="F105" t="s">
        <v>521</v>
      </c>
      <c r="H105">
        <v>1</v>
      </c>
    </row>
    <row r="106" spans="1:8" x14ac:dyDescent="0.45">
      <c r="A106">
        <v>1.1000000000000001</v>
      </c>
      <c r="B106" t="s">
        <v>379</v>
      </c>
      <c r="C106">
        <v>1201</v>
      </c>
      <c r="D106">
        <v>17</v>
      </c>
      <c r="E106" t="s">
        <v>5</v>
      </c>
      <c r="F106" t="s">
        <v>413</v>
      </c>
      <c r="H106">
        <v>1</v>
      </c>
    </row>
    <row r="107" spans="1:8" x14ac:dyDescent="0.45">
      <c r="A107">
        <v>1.1000000000000001</v>
      </c>
      <c r="B107" t="s">
        <v>379</v>
      </c>
      <c r="C107">
        <v>1201</v>
      </c>
      <c r="D107">
        <v>18</v>
      </c>
      <c r="E107" t="s">
        <v>5</v>
      </c>
      <c r="F107" t="s">
        <v>418</v>
      </c>
      <c r="H107">
        <v>1</v>
      </c>
    </row>
    <row r="108" spans="1:8" x14ac:dyDescent="0.45">
      <c r="A108">
        <v>1.1000000000000001</v>
      </c>
      <c r="B108" t="s">
        <v>379</v>
      </c>
      <c r="C108">
        <v>1201</v>
      </c>
      <c r="D108">
        <v>19</v>
      </c>
      <c r="E108" t="s">
        <v>5</v>
      </c>
      <c r="F108" t="s">
        <v>225</v>
      </c>
      <c r="H108">
        <v>1</v>
      </c>
    </row>
    <row r="109" spans="1:8" x14ac:dyDescent="0.45">
      <c r="A109">
        <v>1.1000000000000001</v>
      </c>
      <c r="B109" t="s">
        <v>379</v>
      </c>
      <c r="C109">
        <v>1201</v>
      </c>
      <c r="D109">
        <v>20</v>
      </c>
      <c r="E109" t="s">
        <v>5</v>
      </c>
      <c r="F109" t="s">
        <v>419</v>
      </c>
      <c r="H109">
        <v>1</v>
      </c>
    </row>
    <row r="110" spans="1:8" x14ac:dyDescent="0.45">
      <c r="A110">
        <v>1.1000000000000001</v>
      </c>
      <c r="B110" t="s">
        <v>379</v>
      </c>
      <c r="C110">
        <v>1201</v>
      </c>
      <c r="D110">
        <v>21</v>
      </c>
      <c r="E110" t="s">
        <v>7</v>
      </c>
      <c r="F110" t="s">
        <v>10</v>
      </c>
      <c r="H110">
        <v>1</v>
      </c>
    </row>
    <row r="111" spans="1:8" x14ac:dyDescent="0.45">
      <c r="A111">
        <v>1.1000000000000001</v>
      </c>
      <c r="B111" t="s">
        <v>379</v>
      </c>
      <c r="C111">
        <v>1201</v>
      </c>
      <c r="D111">
        <v>22</v>
      </c>
      <c r="E111" t="s">
        <v>5</v>
      </c>
      <c r="F111" t="s">
        <v>522</v>
      </c>
      <c r="G111" t="s">
        <v>171</v>
      </c>
      <c r="H111">
        <v>1</v>
      </c>
    </row>
    <row r="112" spans="1:8" x14ac:dyDescent="0.45">
      <c r="A112">
        <v>1.1000000000000001</v>
      </c>
      <c r="B112" t="s">
        <v>379</v>
      </c>
      <c r="C112">
        <v>1201</v>
      </c>
      <c r="D112">
        <v>23</v>
      </c>
      <c r="E112" t="s">
        <v>5</v>
      </c>
      <c r="F112" t="s">
        <v>420</v>
      </c>
      <c r="H112">
        <v>1</v>
      </c>
    </row>
    <row r="113" spans="1:8" x14ac:dyDescent="0.45">
      <c r="A113">
        <v>1.1000000000000001</v>
      </c>
      <c r="B113" t="s">
        <v>379</v>
      </c>
      <c r="C113">
        <v>1201</v>
      </c>
      <c r="D113">
        <v>24</v>
      </c>
      <c r="E113" t="s">
        <v>5</v>
      </c>
      <c r="F113" t="s">
        <v>421</v>
      </c>
      <c r="G113" t="s">
        <v>171</v>
      </c>
      <c r="H113">
        <v>1</v>
      </c>
    </row>
    <row r="114" spans="1:8" x14ac:dyDescent="0.45">
      <c r="A114">
        <v>1.1000000000000001</v>
      </c>
      <c r="B114" t="s">
        <v>379</v>
      </c>
      <c r="C114">
        <v>1201</v>
      </c>
      <c r="D114">
        <v>25</v>
      </c>
      <c r="E114" t="s">
        <v>7</v>
      </c>
      <c r="F114" t="s">
        <v>11</v>
      </c>
      <c r="H114">
        <v>1</v>
      </c>
    </row>
    <row r="115" spans="1:8" x14ac:dyDescent="0.45">
      <c r="A115">
        <v>1.1000000000000001</v>
      </c>
      <c r="B115" t="s">
        <v>379</v>
      </c>
      <c r="C115">
        <v>1201</v>
      </c>
      <c r="D115">
        <v>26</v>
      </c>
      <c r="E115" t="s">
        <v>18</v>
      </c>
      <c r="F115" t="s">
        <v>523</v>
      </c>
      <c r="H115">
        <v>1</v>
      </c>
    </row>
    <row r="116" spans="1:8" x14ac:dyDescent="0.45">
      <c r="A116">
        <v>1.1000000000000001</v>
      </c>
      <c r="B116" t="s">
        <v>379</v>
      </c>
      <c r="C116">
        <v>1201</v>
      </c>
      <c r="D116">
        <v>27</v>
      </c>
      <c r="E116" t="s">
        <v>7</v>
      </c>
      <c r="F116" t="s">
        <v>10</v>
      </c>
      <c r="H116">
        <v>1</v>
      </c>
    </row>
    <row r="117" spans="1:8" x14ac:dyDescent="0.45">
      <c r="A117">
        <v>1.1000000000000001</v>
      </c>
      <c r="B117" t="s">
        <v>379</v>
      </c>
      <c r="C117">
        <v>1201</v>
      </c>
      <c r="D117">
        <v>28</v>
      </c>
      <c r="E117" t="s">
        <v>5</v>
      </c>
      <c r="F117" t="s">
        <v>524</v>
      </c>
      <c r="H117">
        <v>1</v>
      </c>
    </row>
    <row r="118" spans="1:8" x14ac:dyDescent="0.45">
      <c r="A118">
        <v>1.1000000000000001</v>
      </c>
      <c r="B118" t="s">
        <v>379</v>
      </c>
      <c r="C118">
        <v>1201</v>
      </c>
      <c r="D118">
        <v>29</v>
      </c>
      <c r="E118" t="s">
        <v>5</v>
      </c>
      <c r="F118" t="s">
        <v>422</v>
      </c>
      <c r="H118">
        <v>1</v>
      </c>
    </row>
    <row r="119" spans="1:8" x14ac:dyDescent="0.45">
      <c r="A119">
        <v>1.1000000000000001</v>
      </c>
      <c r="B119" t="s">
        <v>379</v>
      </c>
      <c r="C119">
        <v>1201</v>
      </c>
      <c r="D119">
        <v>30</v>
      </c>
      <c r="E119" t="s">
        <v>5</v>
      </c>
      <c r="F119" t="s">
        <v>298</v>
      </c>
      <c r="H119">
        <v>1</v>
      </c>
    </row>
    <row r="120" spans="1:8" x14ac:dyDescent="0.45">
      <c r="A120">
        <v>1.1000000000000001</v>
      </c>
      <c r="B120" t="s">
        <v>379</v>
      </c>
      <c r="C120">
        <v>1601</v>
      </c>
      <c r="D120">
        <v>1</v>
      </c>
      <c r="E120" t="s">
        <v>5</v>
      </c>
      <c r="F120" t="s">
        <v>264</v>
      </c>
      <c r="H120">
        <v>1</v>
      </c>
    </row>
    <row r="121" spans="1:8" x14ac:dyDescent="0.45">
      <c r="A121">
        <v>1.1000000000000001</v>
      </c>
      <c r="B121" t="s">
        <v>379</v>
      </c>
      <c r="C121">
        <v>1601</v>
      </c>
      <c r="D121">
        <v>2</v>
      </c>
      <c r="E121" t="s">
        <v>5</v>
      </c>
      <c r="F121" t="s">
        <v>525</v>
      </c>
      <c r="H121">
        <v>1</v>
      </c>
    </row>
    <row r="122" spans="1:8" x14ac:dyDescent="0.45">
      <c r="A122">
        <v>1.1000000000000001</v>
      </c>
      <c r="B122" t="s">
        <v>379</v>
      </c>
      <c r="C122">
        <v>1601</v>
      </c>
      <c r="D122">
        <v>3</v>
      </c>
      <c r="E122" t="s">
        <v>18</v>
      </c>
      <c r="F122" t="s">
        <v>526</v>
      </c>
      <c r="G122" t="s">
        <v>171</v>
      </c>
      <c r="H122">
        <v>1</v>
      </c>
    </row>
    <row r="123" spans="1:8" x14ac:dyDescent="0.45">
      <c r="A123">
        <v>1.1000000000000001</v>
      </c>
      <c r="B123" t="s">
        <v>379</v>
      </c>
      <c r="C123">
        <v>1601</v>
      </c>
      <c r="D123">
        <v>4</v>
      </c>
      <c r="E123" t="s">
        <v>18</v>
      </c>
      <c r="F123" t="s">
        <v>527</v>
      </c>
      <c r="G123" t="s">
        <v>171</v>
      </c>
      <c r="H123">
        <v>1</v>
      </c>
    </row>
    <row r="124" spans="1:8" x14ac:dyDescent="0.45">
      <c r="A124">
        <v>1.1000000000000001</v>
      </c>
      <c r="B124" t="s">
        <v>379</v>
      </c>
      <c r="C124">
        <v>1601</v>
      </c>
      <c r="D124">
        <v>5</v>
      </c>
      <c r="E124" t="s">
        <v>5</v>
      </c>
      <c r="F124" t="s">
        <v>423</v>
      </c>
      <c r="H124">
        <v>1</v>
      </c>
    </row>
    <row r="125" spans="1:8" x14ac:dyDescent="0.45">
      <c r="A125">
        <v>1.1000000000000001</v>
      </c>
      <c r="B125" t="s">
        <v>379</v>
      </c>
      <c r="C125">
        <v>1601</v>
      </c>
      <c r="D125">
        <v>6</v>
      </c>
      <c r="E125" t="s">
        <v>7</v>
      </c>
      <c r="F125" t="s">
        <v>381</v>
      </c>
      <c r="H125">
        <v>1</v>
      </c>
    </row>
    <row r="126" spans="1:8" x14ac:dyDescent="0.45">
      <c r="A126">
        <v>1.1000000000000001</v>
      </c>
      <c r="B126" t="s">
        <v>379</v>
      </c>
      <c r="C126">
        <v>1601</v>
      </c>
      <c r="D126">
        <v>7</v>
      </c>
      <c r="E126" t="s">
        <v>7</v>
      </c>
      <c r="F126" t="s">
        <v>9</v>
      </c>
      <c r="H126">
        <v>1</v>
      </c>
    </row>
    <row r="127" spans="1:8" x14ac:dyDescent="0.45">
      <c r="A127">
        <v>1.1000000000000001</v>
      </c>
      <c r="B127" t="s">
        <v>379</v>
      </c>
      <c r="C127">
        <v>1601</v>
      </c>
      <c r="D127">
        <v>8</v>
      </c>
      <c r="E127" t="s">
        <v>7</v>
      </c>
      <c r="F127" t="s">
        <v>10</v>
      </c>
      <c r="H127">
        <v>1</v>
      </c>
    </row>
    <row r="128" spans="1:8" x14ac:dyDescent="0.45">
      <c r="A128">
        <v>1.1000000000000001</v>
      </c>
      <c r="B128" t="s">
        <v>379</v>
      </c>
      <c r="C128">
        <v>1601</v>
      </c>
      <c r="D128">
        <v>9</v>
      </c>
      <c r="E128" t="s">
        <v>7</v>
      </c>
      <c r="F128" t="s">
        <v>10</v>
      </c>
      <c r="H128">
        <v>1</v>
      </c>
    </row>
    <row r="129" spans="1:8" x14ac:dyDescent="0.45">
      <c r="A129">
        <v>1.1000000000000001</v>
      </c>
      <c r="B129" t="s">
        <v>379</v>
      </c>
      <c r="C129">
        <v>1601</v>
      </c>
      <c r="D129">
        <v>10</v>
      </c>
      <c r="E129" t="s">
        <v>5</v>
      </c>
      <c r="F129" t="s">
        <v>424</v>
      </c>
      <c r="H129">
        <v>1</v>
      </c>
    </row>
    <row r="130" spans="1:8" x14ac:dyDescent="0.45">
      <c r="A130">
        <v>1.1000000000000001</v>
      </c>
      <c r="B130" t="s">
        <v>379</v>
      </c>
      <c r="C130">
        <v>1601</v>
      </c>
      <c r="D130">
        <v>11</v>
      </c>
      <c r="E130" t="s">
        <v>7</v>
      </c>
      <c r="F130" t="s">
        <v>10</v>
      </c>
      <c r="H130">
        <v>1</v>
      </c>
    </row>
    <row r="131" spans="1:8" x14ac:dyDescent="0.45">
      <c r="A131">
        <v>1.1000000000000001</v>
      </c>
      <c r="B131" t="s">
        <v>379</v>
      </c>
      <c r="C131">
        <v>1601</v>
      </c>
      <c r="D131">
        <v>12</v>
      </c>
      <c r="E131" t="s">
        <v>5</v>
      </c>
      <c r="F131" t="s">
        <v>425</v>
      </c>
      <c r="H131">
        <v>1</v>
      </c>
    </row>
    <row r="132" spans="1:8" x14ac:dyDescent="0.45">
      <c r="A132">
        <v>1.1000000000000001</v>
      </c>
      <c r="B132" t="s">
        <v>379</v>
      </c>
      <c r="C132">
        <v>1601</v>
      </c>
      <c r="D132">
        <v>13</v>
      </c>
      <c r="E132" t="s">
        <v>7</v>
      </c>
      <c r="F132" t="s">
        <v>9</v>
      </c>
      <c r="H132">
        <v>1</v>
      </c>
    </row>
    <row r="133" spans="1:8" x14ac:dyDescent="0.45">
      <c r="A133">
        <v>1.1000000000000001</v>
      </c>
      <c r="B133" t="s">
        <v>379</v>
      </c>
      <c r="C133">
        <v>1601</v>
      </c>
      <c r="D133">
        <v>14</v>
      </c>
      <c r="E133" t="s">
        <v>5</v>
      </c>
      <c r="F133" t="s">
        <v>426</v>
      </c>
      <c r="H133">
        <v>1</v>
      </c>
    </row>
    <row r="134" spans="1:8" x14ac:dyDescent="0.45">
      <c r="A134">
        <v>1.1000000000000001</v>
      </c>
      <c r="B134" t="s">
        <v>379</v>
      </c>
      <c r="C134">
        <v>1601</v>
      </c>
      <c r="D134">
        <v>15</v>
      </c>
      <c r="E134" t="s">
        <v>7</v>
      </c>
      <c r="F134" t="s">
        <v>11</v>
      </c>
      <c r="H134">
        <v>1</v>
      </c>
    </row>
    <row r="135" spans="1:8" x14ac:dyDescent="0.45">
      <c r="A135">
        <v>1.1000000000000001</v>
      </c>
      <c r="B135" t="s">
        <v>379</v>
      </c>
      <c r="C135">
        <v>1601</v>
      </c>
      <c r="D135">
        <v>16</v>
      </c>
      <c r="E135" t="s">
        <v>7</v>
      </c>
      <c r="F135" t="s">
        <v>10</v>
      </c>
      <c r="H135">
        <v>1</v>
      </c>
    </row>
    <row r="136" spans="1:8" x14ac:dyDescent="0.45">
      <c r="A136">
        <v>1.1000000000000001</v>
      </c>
      <c r="B136" t="s">
        <v>379</v>
      </c>
      <c r="C136">
        <v>1601</v>
      </c>
      <c r="D136">
        <v>17</v>
      </c>
      <c r="E136" t="s">
        <v>5</v>
      </c>
      <c r="F136" t="s">
        <v>427</v>
      </c>
      <c r="H136">
        <v>1</v>
      </c>
    </row>
    <row r="137" spans="1:8" x14ac:dyDescent="0.45">
      <c r="A137">
        <v>1.1000000000000001</v>
      </c>
      <c r="B137" t="s">
        <v>379</v>
      </c>
      <c r="C137">
        <v>1601</v>
      </c>
      <c r="D137">
        <v>18</v>
      </c>
      <c r="E137" t="s">
        <v>18</v>
      </c>
      <c r="F137" t="s">
        <v>427</v>
      </c>
      <c r="H137">
        <v>1</v>
      </c>
    </row>
    <row r="138" spans="1:8" x14ac:dyDescent="0.45">
      <c r="A138">
        <v>1.1000000000000001</v>
      </c>
      <c r="B138" t="s">
        <v>379</v>
      </c>
      <c r="C138">
        <v>1601</v>
      </c>
      <c r="D138">
        <v>19</v>
      </c>
      <c r="E138" t="s">
        <v>7</v>
      </c>
      <c r="F138" t="s">
        <v>10</v>
      </c>
      <c r="H138">
        <v>1</v>
      </c>
    </row>
    <row r="139" spans="1:8" x14ac:dyDescent="0.45">
      <c r="A139">
        <v>1.1000000000000001</v>
      </c>
      <c r="B139" t="s">
        <v>379</v>
      </c>
      <c r="C139">
        <v>1601</v>
      </c>
      <c r="D139">
        <v>20</v>
      </c>
      <c r="E139" t="s">
        <v>7</v>
      </c>
      <c r="F139" t="s">
        <v>11</v>
      </c>
      <c r="H139">
        <v>1</v>
      </c>
    </row>
    <row r="140" spans="1:8" x14ac:dyDescent="0.45">
      <c r="A140">
        <v>1.1000000000000001</v>
      </c>
      <c r="B140" t="s">
        <v>379</v>
      </c>
      <c r="C140">
        <v>1601</v>
      </c>
      <c r="D140">
        <v>21</v>
      </c>
      <c r="E140" t="s">
        <v>7</v>
      </c>
      <c r="F140" t="s">
        <v>428</v>
      </c>
      <c r="H140">
        <v>1</v>
      </c>
    </row>
    <row r="141" spans="1:8" x14ac:dyDescent="0.45">
      <c r="A141">
        <v>1.1000000000000001</v>
      </c>
      <c r="B141" t="s">
        <v>379</v>
      </c>
      <c r="C141">
        <v>1601</v>
      </c>
      <c r="D141">
        <v>22</v>
      </c>
      <c r="E141" t="s">
        <v>5</v>
      </c>
      <c r="F141" t="s">
        <v>528</v>
      </c>
      <c r="H141">
        <v>1</v>
      </c>
    </row>
    <row r="142" spans="1:8" x14ac:dyDescent="0.45">
      <c r="A142">
        <v>1.1000000000000001</v>
      </c>
      <c r="B142" t="s">
        <v>379</v>
      </c>
      <c r="C142">
        <v>1601</v>
      </c>
      <c r="D142">
        <v>23</v>
      </c>
      <c r="E142" t="s">
        <v>5</v>
      </c>
      <c r="F142" t="s">
        <v>61</v>
      </c>
      <c r="H142">
        <v>1</v>
      </c>
    </row>
    <row r="143" spans="1:8" x14ac:dyDescent="0.45">
      <c r="A143">
        <v>1.1000000000000001</v>
      </c>
      <c r="B143" t="s">
        <v>379</v>
      </c>
      <c r="C143">
        <v>1601</v>
      </c>
      <c r="D143">
        <v>24</v>
      </c>
      <c r="E143" t="s">
        <v>7</v>
      </c>
      <c r="F143" t="s">
        <v>10</v>
      </c>
      <c r="H143">
        <v>1</v>
      </c>
    </row>
    <row r="144" spans="1:8" x14ac:dyDescent="0.45">
      <c r="A144">
        <v>1.1000000000000001</v>
      </c>
      <c r="B144" t="s">
        <v>379</v>
      </c>
      <c r="C144">
        <v>1601</v>
      </c>
      <c r="D144">
        <v>25</v>
      </c>
      <c r="E144" t="s">
        <v>18</v>
      </c>
      <c r="F144" t="s">
        <v>307</v>
      </c>
      <c r="H144">
        <v>1</v>
      </c>
    </row>
    <row r="145" spans="1:8" x14ac:dyDescent="0.45">
      <c r="A145">
        <v>1.1000000000000001</v>
      </c>
      <c r="B145" t="s">
        <v>379</v>
      </c>
      <c r="C145">
        <v>1601</v>
      </c>
      <c r="D145">
        <v>26</v>
      </c>
      <c r="E145" t="s">
        <v>5</v>
      </c>
      <c r="F145" t="s">
        <v>529</v>
      </c>
      <c r="H145">
        <v>1</v>
      </c>
    </row>
    <row r="146" spans="1:8" x14ac:dyDescent="0.45">
      <c r="A146">
        <v>1.1000000000000001</v>
      </c>
      <c r="B146" t="s">
        <v>379</v>
      </c>
      <c r="C146">
        <v>1601</v>
      </c>
      <c r="D146">
        <v>27</v>
      </c>
      <c r="E146" t="s">
        <v>7</v>
      </c>
      <c r="F146" t="s">
        <v>9</v>
      </c>
      <c r="H146">
        <v>1</v>
      </c>
    </row>
    <row r="147" spans="1:8" x14ac:dyDescent="0.45">
      <c r="A147">
        <v>1.1000000000000001</v>
      </c>
      <c r="B147" t="s">
        <v>379</v>
      </c>
      <c r="C147">
        <v>1601</v>
      </c>
      <c r="D147">
        <v>28</v>
      </c>
      <c r="E147" t="s">
        <v>7</v>
      </c>
      <c r="F147" t="s">
        <v>10</v>
      </c>
      <c r="H147">
        <v>1</v>
      </c>
    </row>
    <row r="148" spans="1:8" x14ac:dyDescent="0.45">
      <c r="A148">
        <v>1.1000000000000001</v>
      </c>
      <c r="B148" t="s">
        <v>379</v>
      </c>
      <c r="C148">
        <v>1601</v>
      </c>
      <c r="D148">
        <v>29</v>
      </c>
      <c r="E148" t="s">
        <v>5</v>
      </c>
      <c r="F148" t="s">
        <v>61</v>
      </c>
      <c r="H148">
        <v>1</v>
      </c>
    </row>
    <row r="149" spans="1:8" x14ac:dyDescent="0.45">
      <c r="A149">
        <v>1.1000000000000001</v>
      </c>
      <c r="B149" t="s">
        <v>379</v>
      </c>
      <c r="C149">
        <v>1601</v>
      </c>
      <c r="D149">
        <v>30</v>
      </c>
      <c r="E149" t="s">
        <v>7</v>
      </c>
      <c r="F149" t="s">
        <v>10</v>
      </c>
      <c r="H149">
        <v>1</v>
      </c>
    </row>
    <row r="150" spans="1:8" x14ac:dyDescent="0.45">
      <c r="A150">
        <v>1.1000000000000001</v>
      </c>
      <c r="B150" t="s">
        <v>379</v>
      </c>
      <c r="C150">
        <v>1601</v>
      </c>
      <c r="D150">
        <v>31</v>
      </c>
      <c r="E150" t="s">
        <v>5</v>
      </c>
      <c r="F150" t="s">
        <v>430</v>
      </c>
      <c r="H150">
        <v>1</v>
      </c>
    </row>
    <row r="151" spans="1:8" x14ac:dyDescent="0.45">
      <c r="A151">
        <v>1.1000000000000001</v>
      </c>
      <c r="B151" t="s">
        <v>379</v>
      </c>
      <c r="C151">
        <v>1601</v>
      </c>
      <c r="D151">
        <v>32</v>
      </c>
      <c r="E151" t="s">
        <v>5</v>
      </c>
      <c r="F151" t="s">
        <v>517</v>
      </c>
      <c r="G151" t="s">
        <v>171</v>
      </c>
      <c r="H151">
        <v>1</v>
      </c>
    </row>
    <row r="152" spans="1:8" x14ac:dyDescent="0.45">
      <c r="A152">
        <v>1.1000000000000001</v>
      </c>
      <c r="B152" t="s">
        <v>379</v>
      </c>
      <c r="C152">
        <v>1601</v>
      </c>
      <c r="D152">
        <v>33</v>
      </c>
      <c r="E152" t="s">
        <v>5</v>
      </c>
      <c r="F152" t="s">
        <v>201</v>
      </c>
      <c r="G152" t="s">
        <v>171</v>
      </c>
      <c r="H152">
        <v>1</v>
      </c>
    </row>
    <row r="153" spans="1:8" x14ac:dyDescent="0.45">
      <c r="A153">
        <v>1.1000000000000001</v>
      </c>
      <c r="B153" t="s">
        <v>516</v>
      </c>
      <c r="C153">
        <v>1601</v>
      </c>
      <c r="D153">
        <v>1</v>
      </c>
      <c r="E153" t="s">
        <v>7</v>
      </c>
      <c r="F153" t="s">
        <v>11</v>
      </c>
      <c r="H153">
        <v>1</v>
      </c>
    </row>
    <row r="154" spans="1:8" x14ac:dyDescent="0.45">
      <c r="A154">
        <v>1.1000000000000001</v>
      </c>
      <c r="B154" t="s">
        <v>516</v>
      </c>
      <c r="C154">
        <v>1601</v>
      </c>
      <c r="D154">
        <v>2</v>
      </c>
      <c r="E154" t="s">
        <v>7</v>
      </c>
      <c r="F154" t="s">
        <v>11</v>
      </c>
      <c r="H154">
        <v>1</v>
      </c>
    </row>
    <row r="155" spans="1:8" x14ac:dyDescent="0.45">
      <c r="A155">
        <v>1.1000000000000001</v>
      </c>
      <c r="B155" t="s">
        <v>516</v>
      </c>
      <c r="C155">
        <v>1601</v>
      </c>
      <c r="D155">
        <v>3</v>
      </c>
      <c r="E155" t="s">
        <v>18</v>
      </c>
      <c r="F155" t="s">
        <v>530</v>
      </c>
      <c r="G155" t="s">
        <v>171</v>
      </c>
      <c r="H155">
        <v>1</v>
      </c>
    </row>
    <row r="156" spans="1:8" x14ac:dyDescent="0.45">
      <c r="A156">
        <v>1.1000000000000001</v>
      </c>
      <c r="B156" t="s">
        <v>516</v>
      </c>
      <c r="C156">
        <v>1601</v>
      </c>
      <c r="D156">
        <v>4</v>
      </c>
      <c r="E156" t="s">
        <v>7</v>
      </c>
      <c r="F156" t="s">
        <v>10</v>
      </c>
      <c r="H156">
        <v>1</v>
      </c>
    </row>
    <row r="157" spans="1:8" x14ac:dyDescent="0.45">
      <c r="A157">
        <v>1.1000000000000001</v>
      </c>
      <c r="B157" t="s">
        <v>516</v>
      </c>
      <c r="C157">
        <v>1601</v>
      </c>
      <c r="D157">
        <v>5</v>
      </c>
      <c r="E157" t="s">
        <v>7</v>
      </c>
      <c r="F157" t="s">
        <v>10</v>
      </c>
      <c r="H157">
        <v>1</v>
      </c>
    </row>
    <row r="158" spans="1:8" x14ac:dyDescent="0.45">
      <c r="A158">
        <v>1.1000000000000001</v>
      </c>
      <c r="B158" t="s">
        <v>516</v>
      </c>
      <c r="C158">
        <v>1601</v>
      </c>
      <c r="D158">
        <v>6</v>
      </c>
      <c r="E158" t="s">
        <v>7</v>
      </c>
      <c r="F158" t="s">
        <v>9</v>
      </c>
      <c r="H158">
        <v>1</v>
      </c>
    </row>
    <row r="159" spans="1:8" x14ac:dyDescent="0.45">
      <c r="A159">
        <v>1.1000000000000001</v>
      </c>
      <c r="B159" t="s">
        <v>516</v>
      </c>
      <c r="C159">
        <v>1601</v>
      </c>
      <c r="D159">
        <v>7</v>
      </c>
      <c r="E159" t="s">
        <v>5</v>
      </c>
      <c r="F159" t="s">
        <v>532</v>
      </c>
      <c r="G159" t="s">
        <v>171</v>
      </c>
      <c r="H159">
        <v>1</v>
      </c>
    </row>
    <row r="160" spans="1:8" x14ac:dyDescent="0.45">
      <c r="A160">
        <v>1.1000000000000001</v>
      </c>
      <c r="B160" t="s">
        <v>516</v>
      </c>
      <c r="C160">
        <v>1601</v>
      </c>
      <c r="D160">
        <v>8</v>
      </c>
      <c r="E160" t="s">
        <v>5</v>
      </c>
      <c r="F160" t="s">
        <v>423</v>
      </c>
      <c r="G160" t="s">
        <v>171</v>
      </c>
      <c r="H160">
        <v>1</v>
      </c>
    </row>
    <row r="161" spans="1:8" x14ac:dyDescent="0.45">
      <c r="A161">
        <v>1.1000000000000001</v>
      </c>
      <c r="B161" t="s">
        <v>516</v>
      </c>
      <c r="C161">
        <v>1601</v>
      </c>
      <c r="D161">
        <v>9</v>
      </c>
      <c r="E161" t="s">
        <v>7</v>
      </c>
      <c r="F161" t="s">
        <v>9</v>
      </c>
      <c r="H161">
        <v>1</v>
      </c>
    </row>
    <row r="162" spans="1:8" x14ac:dyDescent="0.45">
      <c r="A162">
        <v>1.1000000000000001</v>
      </c>
      <c r="B162" t="s">
        <v>516</v>
      </c>
      <c r="C162">
        <v>1601</v>
      </c>
      <c r="D162">
        <v>10</v>
      </c>
      <c r="E162" t="s">
        <v>5</v>
      </c>
      <c r="F162" t="s">
        <v>533</v>
      </c>
      <c r="G162" t="s">
        <v>171</v>
      </c>
      <c r="H162">
        <v>1</v>
      </c>
    </row>
    <row r="163" spans="1:8" x14ac:dyDescent="0.45">
      <c r="A163">
        <v>1.1000000000000001</v>
      </c>
      <c r="B163" t="s">
        <v>516</v>
      </c>
      <c r="C163">
        <v>1601</v>
      </c>
      <c r="D163">
        <v>11</v>
      </c>
      <c r="E163" t="s">
        <v>5</v>
      </c>
      <c r="F163" t="s">
        <v>534</v>
      </c>
      <c r="H163">
        <v>1</v>
      </c>
    </row>
    <row r="164" spans="1:8" x14ac:dyDescent="0.45">
      <c r="A164">
        <v>1.1000000000000001</v>
      </c>
      <c r="B164" t="s">
        <v>516</v>
      </c>
      <c r="C164">
        <v>1601</v>
      </c>
      <c r="D164">
        <v>12</v>
      </c>
      <c r="E164" t="s">
        <v>18</v>
      </c>
      <c r="F164" t="s">
        <v>535</v>
      </c>
      <c r="H164">
        <v>1</v>
      </c>
    </row>
    <row r="165" spans="1:8" x14ac:dyDescent="0.45">
      <c r="A165">
        <v>1.1000000000000001</v>
      </c>
      <c r="B165" t="s">
        <v>516</v>
      </c>
      <c r="C165">
        <v>1601</v>
      </c>
      <c r="D165">
        <v>13</v>
      </c>
      <c r="E165" t="s">
        <v>5</v>
      </c>
      <c r="F165" t="s">
        <v>371</v>
      </c>
      <c r="H165">
        <v>1</v>
      </c>
    </row>
    <row r="166" spans="1:8" x14ac:dyDescent="0.45">
      <c r="A166">
        <v>1.1000000000000001</v>
      </c>
      <c r="B166" t="s">
        <v>516</v>
      </c>
      <c r="C166">
        <v>1601</v>
      </c>
      <c r="D166">
        <v>14</v>
      </c>
      <c r="E166" t="s">
        <v>7</v>
      </c>
      <c r="F166" t="s">
        <v>9</v>
      </c>
      <c r="H166">
        <v>1</v>
      </c>
    </row>
    <row r="167" spans="1:8" x14ac:dyDescent="0.45">
      <c r="A167">
        <v>1.1000000000000001</v>
      </c>
      <c r="B167" t="s">
        <v>516</v>
      </c>
      <c r="C167">
        <v>1601</v>
      </c>
      <c r="D167">
        <v>15</v>
      </c>
      <c r="E167" t="s">
        <v>18</v>
      </c>
      <c r="F167" t="s">
        <v>536</v>
      </c>
      <c r="H167">
        <v>1</v>
      </c>
    </row>
    <row r="168" spans="1:8" x14ac:dyDescent="0.45">
      <c r="A168">
        <v>1.1000000000000001</v>
      </c>
      <c r="B168" t="s">
        <v>516</v>
      </c>
      <c r="C168">
        <v>1601</v>
      </c>
      <c r="D168">
        <v>16</v>
      </c>
      <c r="E168" t="s">
        <v>7</v>
      </c>
      <c r="F168" t="s">
        <v>10</v>
      </c>
      <c r="H168">
        <v>1</v>
      </c>
    </row>
    <row r="169" spans="1:8" x14ac:dyDescent="0.45">
      <c r="A169">
        <v>1.1000000000000001</v>
      </c>
      <c r="B169" t="s">
        <v>516</v>
      </c>
      <c r="C169">
        <v>1601</v>
      </c>
      <c r="D169">
        <v>17</v>
      </c>
      <c r="E169" t="s">
        <v>7</v>
      </c>
      <c r="F169" t="s">
        <v>10</v>
      </c>
      <c r="H169">
        <v>1</v>
      </c>
    </row>
    <row r="170" spans="1:8" x14ac:dyDescent="0.45">
      <c r="A170">
        <v>1.1000000000000001</v>
      </c>
      <c r="B170" t="s">
        <v>516</v>
      </c>
      <c r="C170">
        <v>1601</v>
      </c>
      <c r="D170">
        <v>18</v>
      </c>
      <c r="E170" t="s">
        <v>5</v>
      </c>
      <c r="F170" t="s">
        <v>530</v>
      </c>
      <c r="H170">
        <v>1</v>
      </c>
    </row>
    <row r="171" spans="1:8" x14ac:dyDescent="0.45">
      <c r="A171">
        <v>1.1000000000000001</v>
      </c>
      <c r="B171" t="s">
        <v>516</v>
      </c>
      <c r="C171">
        <v>1601</v>
      </c>
      <c r="D171">
        <v>19</v>
      </c>
      <c r="E171" t="s">
        <v>18</v>
      </c>
      <c r="F171" t="s">
        <v>537</v>
      </c>
      <c r="G171" t="s">
        <v>171</v>
      </c>
      <c r="H171">
        <v>1</v>
      </c>
    </row>
    <row r="172" spans="1:8" x14ac:dyDescent="0.45">
      <c r="A172">
        <v>1.1000000000000001</v>
      </c>
      <c r="B172" t="s">
        <v>516</v>
      </c>
      <c r="C172">
        <v>1601</v>
      </c>
      <c r="D172">
        <v>20</v>
      </c>
      <c r="E172" t="s">
        <v>5</v>
      </c>
      <c r="F172" t="s">
        <v>426</v>
      </c>
      <c r="H172">
        <v>1</v>
      </c>
    </row>
    <row r="173" spans="1:8" x14ac:dyDescent="0.45">
      <c r="A173">
        <v>1.1000000000000001</v>
      </c>
      <c r="B173" t="s">
        <v>516</v>
      </c>
      <c r="C173">
        <v>1601</v>
      </c>
      <c r="D173">
        <v>21</v>
      </c>
      <c r="E173" t="s">
        <v>5</v>
      </c>
      <c r="F173" t="s">
        <v>423</v>
      </c>
      <c r="G173" t="s">
        <v>171</v>
      </c>
      <c r="H173">
        <v>1</v>
      </c>
    </row>
    <row r="174" spans="1:8" x14ac:dyDescent="0.45">
      <c r="A174">
        <v>1.1000000000000001</v>
      </c>
      <c r="B174" t="s">
        <v>516</v>
      </c>
      <c r="C174">
        <v>1601</v>
      </c>
      <c r="D174">
        <v>22</v>
      </c>
      <c r="E174" t="s">
        <v>5</v>
      </c>
      <c r="F174" t="s">
        <v>144</v>
      </c>
      <c r="H174">
        <v>1</v>
      </c>
    </row>
    <row r="175" spans="1:8" x14ac:dyDescent="0.45">
      <c r="A175">
        <v>1.1000000000000001</v>
      </c>
      <c r="B175" t="s">
        <v>516</v>
      </c>
      <c r="C175">
        <v>1601</v>
      </c>
      <c r="D175">
        <v>23</v>
      </c>
      <c r="E175" t="s">
        <v>7</v>
      </c>
      <c r="F175" t="s">
        <v>10</v>
      </c>
      <c r="H175">
        <v>1</v>
      </c>
    </row>
    <row r="176" spans="1:8" x14ac:dyDescent="0.45">
      <c r="A176">
        <v>1.1000000000000001</v>
      </c>
      <c r="B176" t="s">
        <v>516</v>
      </c>
      <c r="C176">
        <v>1601</v>
      </c>
      <c r="D176">
        <v>24</v>
      </c>
      <c r="E176" t="s">
        <v>5</v>
      </c>
      <c r="F176" t="s">
        <v>266</v>
      </c>
      <c r="H176">
        <v>1</v>
      </c>
    </row>
    <row r="177" spans="1:8" x14ac:dyDescent="0.45">
      <c r="A177">
        <v>1.1000000000000001</v>
      </c>
      <c r="B177" t="s">
        <v>516</v>
      </c>
      <c r="C177">
        <v>1601</v>
      </c>
      <c r="D177">
        <v>25</v>
      </c>
      <c r="E177" t="s">
        <v>5</v>
      </c>
      <c r="F177" t="s">
        <v>538</v>
      </c>
      <c r="H177">
        <v>1</v>
      </c>
    </row>
    <row r="178" spans="1:8" x14ac:dyDescent="0.45">
      <c r="A178">
        <v>1.1000000000000001</v>
      </c>
      <c r="B178" t="s">
        <v>516</v>
      </c>
      <c r="C178">
        <v>1601</v>
      </c>
      <c r="D178">
        <v>26</v>
      </c>
      <c r="E178" t="s">
        <v>7</v>
      </c>
      <c r="F178" t="s">
        <v>9</v>
      </c>
      <c r="H178">
        <v>1</v>
      </c>
    </row>
    <row r="179" spans="1:8" x14ac:dyDescent="0.45">
      <c r="A179">
        <v>1.1000000000000001</v>
      </c>
      <c r="B179" t="s">
        <v>516</v>
      </c>
      <c r="C179">
        <v>1601</v>
      </c>
      <c r="D179">
        <v>27</v>
      </c>
      <c r="E179" t="s">
        <v>5</v>
      </c>
      <c r="F179" t="s">
        <v>373</v>
      </c>
      <c r="H179">
        <v>1</v>
      </c>
    </row>
    <row r="180" spans="1:8" x14ac:dyDescent="0.45">
      <c r="A180">
        <v>1.1000000000000001</v>
      </c>
      <c r="B180" t="s">
        <v>516</v>
      </c>
      <c r="C180">
        <v>1601</v>
      </c>
      <c r="D180">
        <v>28</v>
      </c>
      <c r="E180" t="s">
        <v>7</v>
      </c>
      <c r="F180" t="s">
        <v>11</v>
      </c>
      <c r="H180">
        <v>1</v>
      </c>
    </row>
    <row r="181" spans="1:8" x14ac:dyDescent="0.45">
      <c r="A181">
        <v>1.1000000000000001</v>
      </c>
      <c r="B181" t="s">
        <v>516</v>
      </c>
      <c r="C181">
        <v>1601</v>
      </c>
      <c r="D181">
        <v>29</v>
      </c>
      <c r="E181" t="s">
        <v>5</v>
      </c>
      <c r="F181" t="s">
        <v>531</v>
      </c>
      <c r="H181">
        <v>1</v>
      </c>
    </row>
    <row r="182" spans="1:8" x14ac:dyDescent="0.45">
      <c r="A182">
        <v>1.1000000000000001</v>
      </c>
      <c r="B182" t="s">
        <v>516</v>
      </c>
      <c r="C182">
        <v>1601</v>
      </c>
      <c r="D182">
        <v>30</v>
      </c>
      <c r="E182" t="s">
        <v>5</v>
      </c>
      <c r="F182" t="s">
        <v>539</v>
      </c>
      <c r="H182">
        <v>1</v>
      </c>
    </row>
    <row r="183" spans="1:8" x14ac:dyDescent="0.45">
      <c r="A183">
        <v>1.1000000000000001</v>
      </c>
      <c r="B183" t="s">
        <v>516</v>
      </c>
      <c r="C183">
        <v>1601</v>
      </c>
      <c r="D183">
        <v>31</v>
      </c>
      <c r="E183" t="s">
        <v>18</v>
      </c>
      <c r="F183" t="s">
        <v>371</v>
      </c>
      <c r="G183" t="s">
        <v>171</v>
      </c>
      <c r="H183">
        <v>1</v>
      </c>
    </row>
    <row r="184" spans="1:8" x14ac:dyDescent="0.45">
      <c r="A184">
        <v>1.1000000000000001</v>
      </c>
      <c r="D184">
        <v>1</v>
      </c>
      <c r="H184">
        <v>1</v>
      </c>
    </row>
    <row r="185" spans="1:8" x14ac:dyDescent="0.45">
      <c r="A185">
        <v>1.1000000000000001</v>
      </c>
      <c r="D185">
        <v>2</v>
      </c>
      <c r="H185">
        <v>1</v>
      </c>
    </row>
    <row r="186" spans="1:8" x14ac:dyDescent="0.45">
      <c r="A186">
        <v>1.1000000000000001</v>
      </c>
      <c r="H186">
        <v>1</v>
      </c>
    </row>
    <row r="187" spans="1:8" x14ac:dyDescent="0.45">
      <c r="A187">
        <v>1.1000000000000001</v>
      </c>
      <c r="H187">
        <v>1</v>
      </c>
    </row>
    <row r="188" spans="1:8" x14ac:dyDescent="0.45">
      <c r="A188">
        <v>1.1000000000000001</v>
      </c>
      <c r="H188">
        <v>1</v>
      </c>
    </row>
    <row r="189" spans="1:8" x14ac:dyDescent="0.45">
      <c r="A189">
        <v>1.1000000000000001</v>
      </c>
      <c r="H189">
        <v>1</v>
      </c>
    </row>
    <row r="190" spans="1:8" x14ac:dyDescent="0.45">
      <c r="A190">
        <v>1.1000000000000001</v>
      </c>
      <c r="H190">
        <v>1</v>
      </c>
    </row>
    <row r="191" spans="1:8" x14ac:dyDescent="0.45">
      <c r="A191">
        <v>1.1000000000000001</v>
      </c>
      <c r="H191">
        <v>1</v>
      </c>
    </row>
    <row r="192" spans="1:8" x14ac:dyDescent="0.45">
      <c r="A192">
        <v>1.1000000000000001</v>
      </c>
      <c r="H192">
        <v>1</v>
      </c>
    </row>
    <row r="193" spans="1:8" x14ac:dyDescent="0.45">
      <c r="A193">
        <v>1.1000000000000001</v>
      </c>
      <c r="H193">
        <v>1</v>
      </c>
    </row>
    <row r="194" spans="1:8" x14ac:dyDescent="0.45">
      <c r="A194">
        <v>1.1000000000000001</v>
      </c>
      <c r="H194">
        <v>1</v>
      </c>
    </row>
    <row r="195" spans="1:8" x14ac:dyDescent="0.45">
      <c r="A195">
        <v>1.1000000000000001</v>
      </c>
      <c r="H195">
        <v>1</v>
      </c>
    </row>
    <row r="196" spans="1:8" x14ac:dyDescent="0.45">
      <c r="A196">
        <v>1.1000000000000001</v>
      </c>
      <c r="H196">
        <v>1</v>
      </c>
    </row>
    <row r="197" spans="1:8" x14ac:dyDescent="0.45">
      <c r="A197">
        <v>1.1000000000000001</v>
      </c>
      <c r="H197">
        <v>1</v>
      </c>
    </row>
    <row r="198" spans="1:8" x14ac:dyDescent="0.45">
      <c r="A198">
        <v>1.1000000000000001</v>
      </c>
      <c r="H198">
        <v>1</v>
      </c>
    </row>
    <row r="199" spans="1:8" x14ac:dyDescent="0.45">
      <c r="A199">
        <v>1.1000000000000001</v>
      </c>
      <c r="H199">
        <v>1</v>
      </c>
    </row>
    <row r="200" spans="1:8" x14ac:dyDescent="0.45">
      <c r="A200">
        <v>1.1000000000000001</v>
      </c>
      <c r="H200">
        <v>1</v>
      </c>
    </row>
    <row r="201" spans="1:8" x14ac:dyDescent="0.45">
      <c r="A201">
        <v>1.1000000000000001</v>
      </c>
      <c r="H201">
        <v>1</v>
      </c>
    </row>
    <row r="202" spans="1:8" x14ac:dyDescent="0.45">
      <c r="A202">
        <v>1.1000000000000001</v>
      </c>
      <c r="H202">
        <v>1</v>
      </c>
    </row>
    <row r="203" spans="1:8" x14ac:dyDescent="0.45">
      <c r="A203">
        <v>1.1000000000000001</v>
      </c>
      <c r="H203">
        <v>1</v>
      </c>
    </row>
    <row r="204" spans="1:8" x14ac:dyDescent="0.45">
      <c r="A204">
        <v>1.1000000000000001</v>
      </c>
      <c r="H204">
        <v>1</v>
      </c>
    </row>
    <row r="205" spans="1:8" x14ac:dyDescent="0.45">
      <c r="A205">
        <v>1.1000000000000001</v>
      </c>
      <c r="H205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2599-8E7E-4B86-80AC-B62FBA8043B0}">
  <dimension ref="A1:M177"/>
  <sheetViews>
    <sheetView workbookViewId="0">
      <pane ySplit="3" topLeftCell="A4" activePane="bottomLeft" state="frozen"/>
      <selection pane="bottomLeft" activeCell="J9" sqref="J9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1</v>
      </c>
      <c r="B2" t="s">
        <v>431</v>
      </c>
      <c r="C2">
        <v>1</v>
      </c>
      <c r="D2">
        <v>1</v>
      </c>
      <c r="E2" t="s">
        <v>5</v>
      </c>
      <c r="F2" t="s">
        <v>207</v>
      </c>
      <c r="H2">
        <v>1</v>
      </c>
      <c r="I2" t="s">
        <v>5</v>
      </c>
      <c r="J2">
        <f>COUNTIFS(E:E,"*F*",H:H,1)</f>
        <v>81</v>
      </c>
      <c r="K2">
        <f>J2+J3</f>
        <v>105</v>
      </c>
      <c r="L2">
        <f>J2/K2</f>
        <v>0.77142857142857146</v>
      </c>
      <c r="M2">
        <f>SQRT(L2*L3/K2)</f>
        <v>4.0979266605750637E-2</v>
      </c>
    </row>
    <row r="3" spans="1:13" x14ac:dyDescent="0.45">
      <c r="A3">
        <v>1</v>
      </c>
      <c r="B3" t="s">
        <v>431</v>
      </c>
      <c r="C3">
        <v>1</v>
      </c>
      <c r="D3">
        <v>2</v>
      </c>
      <c r="E3" t="s">
        <v>5</v>
      </c>
      <c r="F3" t="s">
        <v>432</v>
      </c>
      <c r="G3" t="s">
        <v>171</v>
      </c>
      <c r="H3">
        <v>1</v>
      </c>
      <c r="I3" t="s">
        <v>18</v>
      </c>
      <c r="J3">
        <f>COUNTIFS(E:E,"*B*",H:H,1)</f>
        <v>24</v>
      </c>
      <c r="L3">
        <f>J3/K2</f>
        <v>0.22857142857142856</v>
      </c>
    </row>
    <row r="4" spans="1:13" x14ac:dyDescent="0.45">
      <c r="A4">
        <v>1</v>
      </c>
      <c r="B4" t="s">
        <v>431</v>
      </c>
      <c r="C4">
        <v>1</v>
      </c>
      <c r="D4">
        <v>3</v>
      </c>
      <c r="E4" t="s">
        <v>7</v>
      </c>
      <c r="F4" t="s">
        <v>11</v>
      </c>
      <c r="H4">
        <v>1</v>
      </c>
      <c r="I4" t="s">
        <v>7</v>
      </c>
      <c r="J4">
        <f>COUNTIFS(E:E,"*U*",H:H,1)</f>
        <v>64</v>
      </c>
    </row>
    <row r="5" spans="1:13" x14ac:dyDescent="0.45">
      <c r="A5">
        <v>1</v>
      </c>
      <c r="B5" t="s">
        <v>431</v>
      </c>
      <c r="C5">
        <v>1</v>
      </c>
      <c r="D5">
        <v>4</v>
      </c>
      <c r="E5" t="s">
        <v>7</v>
      </c>
      <c r="F5" t="s">
        <v>9</v>
      </c>
      <c r="H5">
        <v>1</v>
      </c>
    </row>
    <row r="6" spans="1:13" x14ac:dyDescent="0.45">
      <c r="A6">
        <v>1</v>
      </c>
      <c r="B6" t="s">
        <v>431</v>
      </c>
      <c r="C6">
        <v>1</v>
      </c>
      <c r="D6">
        <v>5</v>
      </c>
      <c r="E6" t="s">
        <v>7</v>
      </c>
      <c r="F6" t="s">
        <v>9</v>
      </c>
      <c r="H6">
        <v>1</v>
      </c>
    </row>
    <row r="7" spans="1:13" x14ac:dyDescent="0.45">
      <c r="A7">
        <v>1</v>
      </c>
      <c r="B7" t="s">
        <v>431</v>
      </c>
      <c r="C7">
        <v>1</v>
      </c>
      <c r="D7">
        <v>6</v>
      </c>
      <c r="E7" t="s">
        <v>18</v>
      </c>
      <c r="F7" t="s">
        <v>433</v>
      </c>
      <c r="H7">
        <v>1</v>
      </c>
    </row>
    <row r="8" spans="1:13" x14ac:dyDescent="0.45">
      <c r="A8">
        <v>1</v>
      </c>
      <c r="B8" t="s">
        <v>431</v>
      </c>
      <c r="C8">
        <v>1</v>
      </c>
      <c r="D8">
        <v>7</v>
      </c>
      <c r="E8" t="s">
        <v>18</v>
      </c>
      <c r="F8" t="s">
        <v>240</v>
      </c>
      <c r="H8">
        <v>1</v>
      </c>
    </row>
    <row r="9" spans="1:13" x14ac:dyDescent="0.45">
      <c r="A9">
        <v>1</v>
      </c>
      <c r="B9" t="s">
        <v>431</v>
      </c>
      <c r="C9">
        <v>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1</v>
      </c>
      <c r="B10" t="s">
        <v>431</v>
      </c>
      <c r="C10">
        <v>1</v>
      </c>
      <c r="D10">
        <v>9</v>
      </c>
      <c r="E10" t="s">
        <v>5</v>
      </c>
      <c r="F10" t="s">
        <v>434</v>
      </c>
      <c r="H10">
        <v>1</v>
      </c>
    </row>
    <row r="11" spans="1:13" x14ac:dyDescent="0.45">
      <c r="A11">
        <v>1</v>
      </c>
      <c r="B11" t="s">
        <v>431</v>
      </c>
      <c r="C11">
        <v>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1</v>
      </c>
      <c r="B12" t="s">
        <v>431</v>
      </c>
      <c r="C12">
        <v>1</v>
      </c>
      <c r="D12">
        <v>11</v>
      </c>
      <c r="E12" t="s">
        <v>5</v>
      </c>
      <c r="F12" t="s">
        <v>108</v>
      </c>
      <c r="H12">
        <v>1</v>
      </c>
    </row>
    <row r="13" spans="1:13" x14ac:dyDescent="0.45">
      <c r="A13">
        <v>1</v>
      </c>
      <c r="B13" t="s">
        <v>431</v>
      </c>
      <c r="C13">
        <v>1</v>
      </c>
      <c r="D13">
        <v>12</v>
      </c>
      <c r="E13" t="s">
        <v>7</v>
      </c>
      <c r="F13" t="s">
        <v>9</v>
      </c>
      <c r="H13">
        <v>1</v>
      </c>
    </row>
    <row r="14" spans="1:13" x14ac:dyDescent="0.45">
      <c r="A14">
        <v>1</v>
      </c>
      <c r="B14" t="s">
        <v>431</v>
      </c>
      <c r="C14">
        <v>1</v>
      </c>
      <c r="D14">
        <v>13</v>
      </c>
      <c r="E14" t="s">
        <v>5</v>
      </c>
      <c r="F14" t="s">
        <v>108</v>
      </c>
      <c r="G14" t="s">
        <v>171</v>
      </c>
      <c r="H14">
        <v>1</v>
      </c>
    </row>
    <row r="15" spans="1:13" x14ac:dyDescent="0.45">
      <c r="A15">
        <v>1</v>
      </c>
      <c r="B15" t="s">
        <v>431</v>
      </c>
      <c r="C15">
        <v>1</v>
      </c>
      <c r="D15">
        <v>14</v>
      </c>
      <c r="E15" t="s">
        <v>18</v>
      </c>
      <c r="F15" t="s">
        <v>206</v>
      </c>
      <c r="H15">
        <v>1</v>
      </c>
    </row>
    <row r="16" spans="1:13" x14ac:dyDescent="0.45">
      <c r="A16">
        <v>1</v>
      </c>
      <c r="B16" t="s">
        <v>431</v>
      </c>
      <c r="C16">
        <v>1</v>
      </c>
      <c r="D16">
        <v>15</v>
      </c>
      <c r="E16" t="s">
        <v>7</v>
      </c>
      <c r="F16" t="s">
        <v>11</v>
      </c>
      <c r="H16">
        <v>1</v>
      </c>
    </row>
    <row r="17" spans="1:8" x14ac:dyDescent="0.45">
      <c r="A17">
        <v>1</v>
      </c>
      <c r="B17" t="s">
        <v>431</v>
      </c>
      <c r="C17">
        <v>1</v>
      </c>
      <c r="D17">
        <v>16</v>
      </c>
      <c r="E17" t="s">
        <v>5</v>
      </c>
      <c r="F17" t="s">
        <v>317</v>
      </c>
      <c r="H17">
        <v>1</v>
      </c>
    </row>
    <row r="18" spans="1:8" x14ac:dyDescent="0.45">
      <c r="A18">
        <v>1</v>
      </c>
      <c r="B18" t="s">
        <v>431</v>
      </c>
      <c r="C18">
        <v>1</v>
      </c>
      <c r="D18">
        <v>17</v>
      </c>
      <c r="E18" t="s">
        <v>7</v>
      </c>
      <c r="F18" t="s">
        <v>10</v>
      </c>
      <c r="H18">
        <v>1</v>
      </c>
    </row>
    <row r="19" spans="1:8" x14ac:dyDescent="0.45">
      <c r="A19">
        <v>1</v>
      </c>
      <c r="B19" t="s">
        <v>431</v>
      </c>
      <c r="C19">
        <v>1</v>
      </c>
      <c r="D19">
        <v>18</v>
      </c>
      <c r="E19" t="s">
        <v>5</v>
      </c>
      <c r="F19" t="s">
        <v>240</v>
      </c>
      <c r="H19">
        <v>1</v>
      </c>
    </row>
    <row r="20" spans="1:8" x14ac:dyDescent="0.45">
      <c r="A20">
        <v>1</v>
      </c>
      <c r="B20" t="s">
        <v>431</v>
      </c>
      <c r="C20">
        <v>1</v>
      </c>
      <c r="D20">
        <v>19</v>
      </c>
      <c r="E20" t="s">
        <v>5</v>
      </c>
      <c r="F20" t="s">
        <v>432</v>
      </c>
      <c r="H20">
        <v>1</v>
      </c>
    </row>
    <row r="21" spans="1:8" x14ac:dyDescent="0.45">
      <c r="A21">
        <v>1</v>
      </c>
      <c r="B21" t="s">
        <v>431</v>
      </c>
      <c r="C21">
        <v>1</v>
      </c>
      <c r="D21">
        <v>20</v>
      </c>
      <c r="E21" t="s">
        <v>7</v>
      </c>
      <c r="F21" t="s">
        <v>11</v>
      </c>
      <c r="H21">
        <v>1</v>
      </c>
    </row>
    <row r="22" spans="1:8" x14ac:dyDescent="0.45">
      <c r="A22">
        <v>1</v>
      </c>
      <c r="B22" t="s">
        <v>431</v>
      </c>
      <c r="C22">
        <v>1</v>
      </c>
      <c r="D22">
        <v>21</v>
      </c>
      <c r="E22" t="s">
        <v>7</v>
      </c>
      <c r="F22" t="s">
        <v>11</v>
      </c>
      <c r="H22">
        <v>1</v>
      </c>
    </row>
    <row r="23" spans="1:8" x14ac:dyDescent="0.45">
      <c r="A23">
        <v>1</v>
      </c>
      <c r="B23" t="s">
        <v>431</v>
      </c>
      <c r="C23">
        <v>1</v>
      </c>
      <c r="D23">
        <v>22</v>
      </c>
      <c r="E23" t="s">
        <v>7</v>
      </c>
      <c r="F23" t="s">
        <v>11</v>
      </c>
      <c r="H23">
        <v>1</v>
      </c>
    </row>
    <row r="24" spans="1:8" x14ac:dyDescent="0.45">
      <c r="A24">
        <v>1</v>
      </c>
      <c r="B24" t="s">
        <v>431</v>
      </c>
      <c r="C24">
        <v>1</v>
      </c>
      <c r="D24">
        <v>23</v>
      </c>
      <c r="E24" t="s">
        <v>7</v>
      </c>
      <c r="F24" t="s">
        <v>11</v>
      </c>
      <c r="H24">
        <v>1</v>
      </c>
    </row>
    <row r="25" spans="1:8" x14ac:dyDescent="0.45">
      <c r="A25">
        <v>1</v>
      </c>
      <c r="B25" t="s">
        <v>431</v>
      </c>
      <c r="C25">
        <v>1</v>
      </c>
      <c r="D25">
        <v>24</v>
      </c>
      <c r="E25" t="s">
        <v>18</v>
      </c>
      <c r="F25" t="s">
        <v>239</v>
      </c>
      <c r="H25">
        <v>1</v>
      </c>
    </row>
    <row r="26" spans="1:8" x14ac:dyDescent="0.45">
      <c r="A26">
        <v>1</v>
      </c>
      <c r="B26" t="s">
        <v>431</v>
      </c>
      <c r="C26">
        <v>1</v>
      </c>
      <c r="D26">
        <v>25</v>
      </c>
      <c r="E26" t="s">
        <v>5</v>
      </c>
      <c r="F26" t="s">
        <v>108</v>
      </c>
      <c r="H26">
        <v>1</v>
      </c>
    </row>
    <row r="27" spans="1:8" x14ac:dyDescent="0.45">
      <c r="A27">
        <v>1</v>
      </c>
      <c r="B27" t="s">
        <v>431</v>
      </c>
      <c r="C27">
        <v>1</v>
      </c>
      <c r="D27">
        <v>26</v>
      </c>
      <c r="E27" t="s">
        <v>7</v>
      </c>
      <c r="F27" t="s">
        <v>9</v>
      </c>
      <c r="H27">
        <v>1</v>
      </c>
    </row>
    <row r="28" spans="1:8" x14ac:dyDescent="0.45">
      <c r="A28">
        <v>1</v>
      </c>
      <c r="B28" t="s">
        <v>431</v>
      </c>
      <c r="C28">
        <v>1</v>
      </c>
      <c r="D28">
        <v>27</v>
      </c>
      <c r="E28" t="s">
        <v>7</v>
      </c>
      <c r="F28" t="s">
        <v>11</v>
      </c>
      <c r="H28">
        <v>1</v>
      </c>
    </row>
    <row r="29" spans="1:8" x14ac:dyDescent="0.45">
      <c r="A29">
        <v>1</v>
      </c>
      <c r="B29" t="s">
        <v>431</v>
      </c>
      <c r="C29">
        <v>1</v>
      </c>
      <c r="D29">
        <v>28</v>
      </c>
      <c r="E29" t="s">
        <v>5</v>
      </c>
      <c r="F29" t="s">
        <v>239</v>
      </c>
      <c r="G29" t="s">
        <v>171</v>
      </c>
      <c r="H29">
        <v>1</v>
      </c>
    </row>
    <row r="30" spans="1:8" x14ac:dyDescent="0.45">
      <c r="A30">
        <v>1</v>
      </c>
      <c r="B30" t="s">
        <v>431</v>
      </c>
      <c r="C30">
        <v>1</v>
      </c>
      <c r="D30">
        <v>29</v>
      </c>
      <c r="E30" t="s">
        <v>7</v>
      </c>
      <c r="F30" t="s">
        <v>9</v>
      </c>
      <c r="H30">
        <v>1</v>
      </c>
    </row>
    <row r="31" spans="1:8" x14ac:dyDescent="0.45">
      <c r="A31">
        <v>1</v>
      </c>
      <c r="B31" t="s">
        <v>431</v>
      </c>
      <c r="C31">
        <v>1</v>
      </c>
      <c r="D31">
        <v>30</v>
      </c>
      <c r="E31" t="s">
        <v>7</v>
      </c>
      <c r="F31" t="s">
        <v>10</v>
      </c>
      <c r="H31">
        <v>1</v>
      </c>
    </row>
    <row r="32" spans="1:8" x14ac:dyDescent="0.45">
      <c r="A32">
        <v>1</v>
      </c>
      <c r="B32" t="s">
        <v>431</v>
      </c>
      <c r="C32">
        <v>1</v>
      </c>
      <c r="D32">
        <v>31</v>
      </c>
      <c r="E32" t="s">
        <v>7</v>
      </c>
      <c r="F32" t="s">
        <v>9</v>
      </c>
      <c r="H32">
        <v>1</v>
      </c>
    </row>
    <row r="33" spans="1:8" x14ac:dyDescent="0.45">
      <c r="A33">
        <v>1</v>
      </c>
      <c r="B33" t="s">
        <v>431</v>
      </c>
      <c r="C33">
        <v>1</v>
      </c>
      <c r="D33">
        <v>32</v>
      </c>
      <c r="E33" t="s">
        <v>7</v>
      </c>
      <c r="F33" t="s">
        <v>9</v>
      </c>
      <c r="H33">
        <v>1</v>
      </c>
    </row>
    <row r="34" spans="1:8" x14ac:dyDescent="0.45">
      <c r="A34">
        <v>1</v>
      </c>
      <c r="B34" t="s">
        <v>431</v>
      </c>
      <c r="C34">
        <v>1</v>
      </c>
      <c r="D34">
        <v>33</v>
      </c>
      <c r="E34" t="s">
        <v>5</v>
      </c>
      <c r="F34" t="s">
        <v>435</v>
      </c>
      <c r="H34">
        <v>1</v>
      </c>
    </row>
    <row r="35" spans="1:8" x14ac:dyDescent="0.45">
      <c r="A35">
        <v>1</v>
      </c>
      <c r="B35" t="s">
        <v>431</v>
      </c>
      <c r="C35">
        <v>1</v>
      </c>
      <c r="D35">
        <v>34</v>
      </c>
      <c r="E35" t="s">
        <v>18</v>
      </c>
      <c r="F35" t="s">
        <v>436</v>
      </c>
      <c r="H35">
        <v>1</v>
      </c>
    </row>
    <row r="36" spans="1:8" x14ac:dyDescent="0.45">
      <c r="A36">
        <v>1</v>
      </c>
      <c r="B36" t="s">
        <v>431</v>
      </c>
      <c r="C36">
        <v>1</v>
      </c>
      <c r="D36">
        <v>35</v>
      </c>
      <c r="E36" t="s">
        <v>7</v>
      </c>
      <c r="F36" t="s">
        <v>11</v>
      </c>
      <c r="H36">
        <v>1</v>
      </c>
    </row>
    <row r="37" spans="1:8" x14ac:dyDescent="0.45">
      <c r="A37">
        <v>1</v>
      </c>
      <c r="B37" t="s">
        <v>431</v>
      </c>
      <c r="C37">
        <v>1</v>
      </c>
      <c r="D37">
        <v>36</v>
      </c>
      <c r="E37" t="s">
        <v>5</v>
      </c>
      <c r="F37" t="s">
        <v>111</v>
      </c>
      <c r="H37">
        <v>1</v>
      </c>
    </row>
    <row r="38" spans="1:8" x14ac:dyDescent="0.45">
      <c r="A38">
        <v>1</v>
      </c>
      <c r="B38" t="s">
        <v>431</v>
      </c>
      <c r="C38">
        <v>1</v>
      </c>
      <c r="D38">
        <v>37</v>
      </c>
      <c r="E38" t="s">
        <v>5</v>
      </c>
      <c r="F38" t="s">
        <v>240</v>
      </c>
      <c r="H38">
        <v>1</v>
      </c>
    </row>
    <row r="39" spans="1:8" x14ac:dyDescent="0.45">
      <c r="A39">
        <v>1</v>
      </c>
      <c r="B39" t="s">
        <v>431</v>
      </c>
      <c r="C39">
        <v>1</v>
      </c>
      <c r="D39">
        <v>38</v>
      </c>
      <c r="E39" t="s">
        <v>5</v>
      </c>
      <c r="F39" t="s">
        <v>73</v>
      </c>
      <c r="H39">
        <v>1</v>
      </c>
    </row>
    <row r="40" spans="1:8" x14ac:dyDescent="0.45">
      <c r="A40">
        <v>1</v>
      </c>
      <c r="B40" t="s">
        <v>431</v>
      </c>
      <c r="C40">
        <v>1</v>
      </c>
      <c r="D40">
        <v>39</v>
      </c>
      <c r="E40" t="s">
        <v>7</v>
      </c>
      <c r="F40" t="s">
        <v>11</v>
      </c>
      <c r="H40">
        <v>1</v>
      </c>
    </row>
    <row r="41" spans="1:8" x14ac:dyDescent="0.45">
      <c r="A41">
        <v>1</v>
      </c>
      <c r="B41" t="s">
        <v>431</v>
      </c>
      <c r="C41">
        <v>1</v>
      </c>
      <c r="D41">
        <v>40</v>
      </c>
      <c r="E41" t="s">
        <v>5</v>
      </c>
      <c r="F41" t="s">
        <v>314</v>
      </c>
      <c r="H41">
        <v>1</v>
      </c>
    </row>
    <row r="42" spans="1:8" x14ac:dyDescent="0.45">
      <c r="A42">
        <v>1</v>
      </c>
      <c r="B42" t="s">
        <v>431</v>
      </c>
      <c r="C42">
        <v>1</v>
      </c>
      <c r="D42">
        <v>41</v>
      </c>
      <c r="E42" t="s">
        <v>5</v>
      </c>
      <c r="F42" t="s">
        <v>432</v>
      </c>
      <c r="H42">
        <v>1</v>
      </c>
    </row>
    <row r="43" spans="1:8" x14ac:dyDescent="0.45">
      <c r="A43">
        <v>1</v>
      </c>
      <c r="B43" t="s">
        <v>431</v>
      </c>
      <c r="C43">
        <v>1</v>
      </c>
      <c r="D43">
        <v>42</v>
      </c>
      <c r="E43" t="s">
        <v>5</v>
      </c>
      <c r="F43" t="s">
        <v>437</v>
      </c>
      <c r="H43">
        <v>1</v>
      </c>
    </row>
    <row r="44" spans="1:8" x14ac:dyDescent="0.45">
      <c r="A44">
        <v>1</v>
      </c>
      <c r="B44" t="s">
        <v>431</v>
      </c>
      <c r="C44">
        <v>1</v>
      </c>
      <c r="D44">
        <v>43</v>
      </c>
      <c r="E44" t="s">
        <v>7</v>
      </c>
      <c r="F44" t="s">
        <v>9</v>
      </c>
      <c r="H44">
        <v>1</v>
      </c>
    </row>
    <row r="45" spans="1:8" x14ac:dyDescent="0.45">
      <c r="A45">
        <v>1</v>
      </c>
      <c r="B45" t="s">
        <v>431</v>
      </c>
      <c r="C45">
        <v>1</v>
      </c>
      <c r="D45">
        <v>44</v>
      </c>
      <c r="E45" t="s">
        <v>7</v>
      </c>
      <c r="F45" t="s">
        <v>9</v>
      </c>
      <c r="H45">
        <v>1</v>
      </c>
    </row>
    <row r="46" spans="1:8" x14ac:dyDescent="0.45">
      <c r="A46">
        <v>1</v>
      </c>
      <c r="B46" t="s">
        <v>431</v>
      </c>
      <c r="C46">
        <v>401</v>
      </c>
      <c r="D46">
        <v>1</v>
      </c>
      <c r="E46" t="s">
        <v>7</v>
      </c>
      <c r="F46" t="s">
        <v>10</v>
      </c>
      <c r="H46">
        <v>1</v>
      </c>
    </row>
    <row r="47" spans="1:8" x14ac:dyDescent="0.45">
      <c r="A47">
        <v>1</v>
      </c>
      <c r="B47" t="s">
        <v>431</v>
      </c>
      <c r="C47">
        <v>401</v>
      </c>
      <c r="D47">
        <v>2</v>
      </c>
      <c r="E47" t="s">
        <v>5</v>
      </c>
      <c r="F47" t="s">
        <v>438</v>
      </c>
      <c r="H47">
        <v>1</v>
      </c>
    </row>
    <row r="48" spans="1:8" x14ac:dyDescent="0.45">
      <c r="A48">
        <v>1</v>
      </c>
      <c r="B48" t="s">
        <v>431</v>
      </c>
      <c r="C48">
        <v>401</v>
      </c>
      <c r="D48">
        <v>3</v>
      </c>
      <c r="E48" t="s">
        <v>18</v>
      </c>
      <c r="F48" t="s">
        <v>439</v>
      </c>
      <c r="H48">
        <v>1</v>
      </c>
    </row>
    <row r="49" spans="1:8" x14ac:dyDescent="0.45">
      <c r="A49">
        <v>1</v>
      </c>
      <c r="B49" t="s">
        <v>431</v>
      </c>
      <c r="C49">
        <v>401</v>
      </c>
      <c r="D49">
        <v>4</v>
      </c>
      <c r="E49" t="s">
        <v>5</v>
      </c>
      <c r="F49" t="s">
        <v>35</v>
      </c>
      <c r="H49">
        <v>1</v>
      </c>
    </row>
    <row r="50" spans="1:8" x14ac:dyDescent="0.45">
      <c r="A50">
        <v>1</v>
      </c>
      <c r="B50" t="s">
        <v>431</v>
      </c>
      <c r="C50">
        <v>401</v>
      </c>
      <c r="D50">
        <v>5</v>
      </c>
      <c r="E50" t="s">
        <v>7</v>
      </c>
      <c r="F50" t="s">
        <v>10</v>
      </c>
      <c r="H50">
        <v>1</v>
      </c>
    </row>
    <row r="51" spans="1:8" x14ac:dyDescent="0.45">
      <c r="A51">
        <v>1</v>
      </c>
      <c r="B51" t="s">
        <v>431</v>
      </c>
      <c r="C51">
        <v>401</v>
      </c>
      <c r="D51">
        <v>6</v>
      </c>
      <c r="E51" t="s">
        <v>18</v>
      </c>
      <c r="F51" t="s">
        <v>214</v>
      </c>
      <c r="H51">
        <v>1</v>
      </c>
    </row>
    <row r="52" spans="1:8" x14ac:dyDescent="0.45">
      <c r="A52">
        <v>1</v>
      </c>
      <c r="B52" t="s">
        <v>431</v>
      </c>
      <c r="C52">
        <v>401</v>
      </c>
      <c r="D52">
        <v>7</v>
      </c>
      <c r="E52" t="s">
        <v>18</v>
      </c>
      <c r="F52" t="s">
        <v>119</v>
      </c>
      <c r="G52" t="s">
        <v>171</v>
      </c>
      <c r="H52">
        <v>1</v>
      </c>
    </row>
    <row r="53" spans="1:8" x14ac:dyDescent="0.45">
      <c r="A53">
        <v>1</v>
      </c>
      <c r="B53" t="s">
        <v>431</v>
      </c>
      <c r="C53">
        <v>401</v>
      </c>
      <c r="D53">
        <v>8</v>
      </c>
      <c r="E53" t="s">
        <v>7</v>
      </c>
      <c r="F53" t="s">
        <v>10</v>
      </c>
      <c r="H53">
        <v>1</v>
      </c>
    </row>
    <row r="54" spans="1:8" x14ac:dyDescent="0.45">
      <c r="A54">
        <v>1</v>
      </c>
      <c r="B54" t="s">
        <v>431</v>
      </c>
      <c r="C54">
        <v>401</v>
      </c>
      <c r="D54">
        <v>9</v>
      </c>
      <c r="E54" t="s">
        <v>5</v>
      </c>
      <c r="F54" t="s">
        <v>34</v>
      </c>
      <c r="H54">
        <v>1</v>
      </c>
    </row>
    <row r="55" spans="1:8" x14ac:dyDescent="0.45">
      <c r="A55">
        <v>1</v>
      </c>
      <c r="B55" t="s">
        <v>431</v>
      </c>
      <c r="C55">
        <v>401</v>
      </c>
      <c r="D55">
        <v>10</v>
      </c>
      <c r="E55" t="s">
        <v>5</v>
      </c>
      <c r="F55" t="s">
        <v>440</v>
      </c>
      <c r="H55">
        <v>1</v>
      </c>
    </row>
    <row r="56" spans="1:8" x14ac:dyDescent="0.45">
      <c r="A56">
        <v>1</v>
      </c>
      <c r="B56" t="s">
        <v>431</v>
      </c>
      <c r="C56">
        <v>401</v>
      </c>
      <c r="D56">
        <v>11</v>
      </c>
      <c r="E56" t="s">
        <v>18</v>
      </c>
      <c r="F56" t="s">
        <v>441</v>
      </c>
      <c r="H56">
        <v>1</v>
      </c>
    </row>
    <row r="57" spans="1:8" x14ac:dyDescent="0.45">
      <c r="A57">
        <v>1</v>
      </c>
      <c r="B57" t="s">
        <v>431</v>
      </c>
      <c r="C57">
        <v>401</v>
      </c>
      <c r="D57">
        <v>12</v>
      </c>
      <c r="E57" t="s">
        <v>7</v>
      </c>
      <c r="F57" t="s">
        <v>10</v>
      </c>
      <c r="H57">
        <v>1</v>
      </c>
    </row>
    <row r="58" spans="1:8" x14ac:dyDescent="0.45">
      <c r="A58">
        <v>1</v>
      </c>
      <c r="B58" t="s">
        <v>431</v>
      </c>
      <c r="C58">
        <v>401</v>
      </c>
      <c r="D58">
        <v>13</v>
      </c>
      <c r="E58" t="s">
        <v>18</v>
      </c>
      <c r="F58" t="s">
        <v>119</v>
      </c>
      <c r="H58">
        <v>1</v>
      </c>
    </row>
    <row r="59" spans="1:8" x14ac:dyDescent="0.45">
      <c r="A59">
        <v>1</v>
      </c>
      <c r="B59" t="s">
        <v>431</v>
      </c>
      <c r="C59">
        <v>401</v>
      </c>
      <c r="D59">
        <v>14</v>
      </c>
      <c r="E59" t="s">
        <v>7</v>
      </c>
      <c r="F59" t="s">
        <v>11</v>
      </c>
      <c r="H59">
        <v>1</v>
      </c>
    </row>
    <row r="60" spans="1:8" x14ac:dyDescent="0.45">
      <c r="A60">
        <v>1</v>
      </c>
      <c r="B60" t="s">
        <v>431</v>
      </c>
      <c r="C60">
        <v>401</v>
      </c>
      <c r="D60">
        <v>15</v>
      </c>
      <c r="E60" t="s">
        <v>7</v>
      </c>
      <c r="F60" t="s">
        <v>10</v>
      </c>
      <c r="H60">
        <v>1</v>
      </c>
    </row>
    <row r="61" spans="1:8" x14ac:dyDescent="0.45">
      <c r="A61">
        <v>1</v>
      </c>
      <c r="B61" t="s">
        <v>431</v>
      </c>
      <c r="C61">
        <v>401</v>
      </c>
      <c r="D61">
        <v>16</v>
      </c>
      <c r="E61" t="s">
        <v>18</v>
      </c>
      <c r="F61" t="s">
        <v>442</v>
      </c>
      <c r="H61">
        <v>1</v>
      </c>
    </row>
    <row r="62" spans="1:8" x14ac:dyDescent="0.45">
      <c r="A62">
        <v>1</v>
      </c>
      <c r="B62" t="s">
        <v>431</v>
      </c>
      <c r="C62">
        <v>401</v>
      </c>
      <c r="D62">
        <v>17</v>
      </c>
      <c r="E62" t="s">
        <v>7</v>
      </c>
      <c r="F62" t="s">
        <v>10</v>
      </c>
      <c r="H62">
        <v>1</v>
      </c>
    </row>
    <row r="63" spans="1:8" x14ac:dyDescent="0.45">
      <c r="A63">
        <v>1</v>
      </c>
      <c r="B63" t="s">
        <v>431</v>
      </c>
      <c r="C63">
        <v>401</v>
      </c>
      <c r="D63">
        <v>18</v>
      </c>
      <c r="E63" t="s">
        <v>5</v>
      </c>
      <c r="F63" t="s">
        <v>443</v>
      </c>
      <c r="H63">
        <v>1</v>
      </c>
    </row>
    <row r="64" spans="1:8" x14ac:dyDescent="0.45">
      <c r="A64">
        <v>1</v>
      </c>
      <c r="B64" t="s">
        <v>431</v>
      </c>
      <c r="C64">
        <v>401</v>
      </c>
      <c r="D64">
        <v>19</v>
      </c>
      <c r="E64" t="s">
        <v>7</v>
      </c>
      <c r="F64" t="s">
        <v>9</v>
      </c>
      <c r="H64">
        <v>1</v>
      </c>
    </row>
    <row r="65" spans="1:8" x14ac:dyDescent="0.45">
      <c r="A65">
        <v>1</v>
      </c>
      <c r="B65" t="s">
        <v>431</v>
      </c>
      <c r="C65">
        <v>401</v>
      </c>
      <c r="D65">
        <v>20</v>
      </c>
      <c r="E65" t="s">
        <v>18</v>
      </c>
      <c r="F65" t="s">
        <v>393</v>
      </c>
      <c r="H65">
        <v>1</v>
      </c>
    </row>
    <row r="66" spans="1:8" x14ac:dyDescent="0.45">
      <c r="A66">
        <v>1</v>
      </c>
      <c r="B66" t="s">
        <v>431</v>
      </c>
      <c r="C66">
        <v>401</v>
      </c>
      <c r="D66">
        <v>21</v>
      </c>
      <c r="E66" t="s">
        <v>5</v>
      </c>
      <c r="F66" t="s">
        <v>444</v>
      </c>
      <c r="H66">
        <v>1</v>
      </c>
    </row>
    <row r="67" spans="1:8" x14ac:dyDescent="0.45">
      <c r="A67">
        <v>1</v>
      </c>
      <c r="B67" t="s">
        <v>431</v>
      </c>
      <c r="C67">
        <v>401</v>
      </c>
      <c r="D67">
        <v>22</v>
      </c>
      <c r="E67" t="s">
        <v>5</v>
      </c>
      <c r="F67" t="s">
        <v>445</v>
      </c>
      <c r="H67">
        <v>1</v>
      </c>
    </row>
    <row r="68" spans="1:8" x14ac:dyDescent="0.45">
      <c r="A68">
        <v>1</v>
      </c>
      <c r="B68" t="s">
        <v>431</v>
      </c>
      <c r="C68">
        <v>401</v>
      </c>
      <c r="D68">
        <v>23</v>
      </c>
      <c r="E68" t="s">
        <v>5</v>
      </c>
      <c r="F68" t="s">
        <v>439</v>
      </c>
      <c r="H68">
        <v>1</v>
      </c>
    </row>
    <row r="69" spans="1:8" x14ac:dyDescent="0.45">
      <c r="A69">
        <v>1</v>
      </c>
      <c r="B69" t="s">
        <v>431</v>
      </c>
      <c r="C69">
        <v>401</v>
      </c>
      <c r="D69">
        <v>24</v>
      </c>
      <c r="E69" t="s">
        <v>5</v>
      </c>
      <c r="F69" t="s">
        <v>215</v>
      </c>
      <c r="G69" t="s">
        <v>171</v>
      </c>
      <c r="H69">
        <v>1</v>
      </c>
    </row>
    <row r="70" spans="1:8" x14ac:dyDescent="0.45">
      <c r="A70">
        <v>1</v>
      </c>
      <c r="B70" t="s">
        <v>431</v>
      </c>
      <c r="C70">
        <v>401</v>
      </c>
      <c r="D70">
        <v>25</v>
      </c>
      <c r="E70" t="s">
        <v>5</v>
      </c>
      <c r="F70" t="s">
        <v>34</v>
      </c>
      <c r="G70" t="s">
        <v>171</v>
      </c>
      <c r="H70">
        <v>1</v>
      </c>
    </row>
    <row r="71" spans="1:8" x14ac:dyDescent="0.45">
      <c r="A71">
        <v>1</v>
      </c>
      <c r="B71" t="s">
        <v>431</v>
      </c>
      <c r="C71">
        <v>401</v>
      </c>
      <c r="D71">
        <v>26</v>
      </c>
      <c r="E71" t="s">
        <v>5</v>
      </c>
      <c r="F71" t="s">
        <v>76</v>
      </c>
      <c r="H71">
        <v>1</v>
      </c>
    </row>
    <row r="72" spans="1:8" x14ac:dyDescent="0.45">
      <c r="A72">
        <v>1</v>
      </c>
      <c r="B72" t="s">
        <v>431</v>
      </c>
      <c r="C72">
        <v>401</v>
      </c>
      <c r="D72">
        <v>27</v>
      </c>
      <c r="E72" t="s">
        <v>5</v>
      </c>
      <c r="F72" t="s">
        <v>446</v>
      </c>
      <c r="H72">
        <v>1</v>
      </c>
    </row>
    <row r="73" spans="1:8" x14ac:dyDescent="0.45">
      <c r="A73">
        <v>1</v>
      </c>
      <c r="B73" t="s">
        <v>431</v>
      </c>
      <c r="C73">
        <v>401</v>
      </c>
      <c r="D73">
        <v>28</v>
      </c>
      <c r="E73" t="s">
        <v>18</v>
      </c>
      <c r="F73" t="s">
        <v>447</v>
      </c>
      <c r="H73">
        <v>1</v>
      </c>
    </row>
    <row r="74" spans="1:8" x14ac:dyDescent="0.45">
      <c r="A74">
        <v>1</v>
      </c>
      <c r="B74" t="s">
        <v>431</v>
      </c>
      <c r="C74">
        <v>401</v>
      </c>
      <c r="D74">
        <v>29</v>
      </c>
      <c r="E74" t="s">
        <v>5</v>
      </c>
      <c r="F74" t="s">
        <v>448</v>
      </c>
      <c r="H74">
        <v>1</v>
      </c>
    </row>
    <row r="75" spans="1:8" x14ac:dyDescent="0.45">
      <c r="A75">
        <v>1</v>
      </c>
      <c r="B75" t="s">
        <v>431</v>
      </c>
      <c r="C75">
        <v>401</v>
      </c>
      <c r="D75">
        <v>30</v>
      </c>
      <c r="E75" t="s">
        <v>7</v>
      </c>
      <c r="F75" t="s">
        <v>9</v>
      </c>
      <c r="H75">
        <v>1</v>
      </c>
    </row>
    <row r="76" spans="1:8" x14ac:dyDescent="0.45">
      <c r="A76">
        <v>1</v>
      </c>
      <c r="B76" t="s">
        <v>431</v>
      </c>
      <c r="C76">
        <v>401</v>
      </c>
      <c r="D76">
        <v>31</v>
      </c>
      <c r="E76" t="s">
        <v>5</v>
      </c>
      <c r="F76" t="s">
        <v>119</v>
      </c>
      <c r="H76">
        <v>1</v>
      </c>
    </row>
    <row r="77" spans="1:8" x14ac:dyDescent="0.45">
      <c r="A77">
        <v>1</v>
      </c>
      <c r="B77" t="s">
        <v>431</v>
      </c>
      <c r="C77">
        <v>401</v>
      </c>
      <c r="D77">
        <v>32</v>
      </c>
      <c r="E77" t="s">
        <v>5</v>
      </c>
      <c r="F77" t="s">
        <v>214</v>
      </c>
      <c r="H77">
        <v>1</v>
      </c>
    </row>
    <row r="78" spans="1:8" x14ac:dyDescent="0.45">
      <c r="A78">
        <v>1</v>
      </c>
      <c r="B78" t="s">
        <v>431</v>
      </c>
      <c r="C78">
        <v>401</v>
      </c>
      <c r="D78">
        <v>33</v>
      </c>
      <c r="E78" t="s">
        <v>5</v>
      </c>
      <c r="F78" t="s">
        <v>114</v>
      </c>
      <c r="H78">
        <v>1</v>
      </c>
    </row>
    <row r="79" spans="1:8" x14ac:dyDescent="0.45">
      <c r="A79">
        <v>1</v>
      </c>
      <c r="B79" t="s">
        <v>431</v>
      </c>
      <c r="C79">
        <v>401</v>
      </c>
      <c r="D79">
        <v>34</v>
      </c>
      <c r="E79" t="s">
        <v>18</v>
      </c>
      <c r="F79" t="s">
        <v>449</v>
      </c>
      <c r="H79">
        <v>1</v>
      </c>
    </row>
    <row r="80" spans="1:8" x14ac:dyDescent="0.45">
      <c r="A80">
        <v>1</v>
      </c>
      <c r="B80" t="s">
        <v>431</v>
      </c>
      <c r="C80">
        <v>401</v>
      </c>
      <c r="D80">
        <v>35</v>
      </c>
      <c r="E80" t="s">
        <v>7</v>
      </c>
      <c r="F80" t="s">
        <v>11</v>
      </c>
      <c r="H80">
        <v>1</v>
      </c>
    </row>
    <row r="81" spans="1:8" x14ac:dyDescent="0.45">
      <c r="A81">
        <v>1</v>
      </c>
      <c r="B81" t="s">
        <v>431</v>
      </c>
      <c r="C81">
        <v>401</v>
      </c>
      <c r="D81">
        <v>36</v>
      </c>
      <c r="E81" t="s">
        <v>18</v>
      </c>
      <c r="F81" t="s">
        <v>244</v>
      </c>
      <c r="H81">
        <v>1</v>
      </c>
    </row>
    <row r="82" spans="1:8" x14ac:dyDescent="0.45">
      <c r="A82">
        <v>1</v>
      </c>
      <c r="B82" t="s">
        <v>431</v>
      </c>
      <c r="C82">
        <v>401</v>
      </c>
      <c r="D82">
        <v>37</v>
      </c>
      <c r="E82" t="s">
        <v>7</v>
      </c>
      <c r="F82" t="s">
        <v>10</v>
      </c>
      <c r="H82">
        <v>1</v>
      </c>
    </row>
    <row r="83" spans="1:8" x14ac:dyDescent="0.45">
      <c r="A83">
        <v>1</v>
      </c>
      <c r="B83" t="s">
        <v>431</v>
      </c>
      <c r="C83">
        <v>401</v>
      </c>
      <c r="D83">
        <v>38</v>
      </c>
      <c r="E83" t="s">
        <v>5</v>
      </c>
      <c r="F83" t="s">
        <v>391</v>
      </c>
      <c r="H83">
        <v>1</v>
      </c>
    </row>
    <row r="84" spans="1:8" x14ac:dyDescent="0.45">
      <c r="A84">
        <v>1</v>
      </c>
      <c r="B84" t="s">
        <v>431</v>
      </c>
      <c r="C84">
        <v>401</v>
      </c>
      <c r="D84">
        <v>39</v>
      </c>
      <c r="E84" t="s">
        <v>5</v>
      </c>
      <c r="F84" t="s">
        <v>450</v>
      </c>
      <c r="H84">
        <v>1</v>
      </c>
    </row>
    <row r="85" spans="1:8" x14ac:dyDescent="0.45">
      <c r="A85">
        <v>1</v>
      </c>
      <c r="B85" t="s">
        <v>431</v>
      </c>
      <c r="C85">
        <v>401</v>
      </c>
      <c r="D85">
        <v>40</v>
      </c>
      <c r="E85" t="s">
        <v>18</v>
      </c>
      <c r="F85" t="s">
        <v>451</v>
      </c>
      <c r="H85">
        <v>1</v>
      </c>
    </row>
    <row r="86" spans="1:8" x14ac:dyDescent="0.45">
      <c r="A86">
        <v>1</v>
      </c>
      <c r="B86" t="s">
        <v>431</v>
      </c>
      <c r="C86">
        <v>401</v>
      </c>
      <c r="D86">
        <v>41</v>
      </c>
      <c r="E86" t="s">
        <v>5</v>
      </c>
      <c r="F86" t="s">
        <v>246</v>
      </c>
      <c r="H86">
        <v>1</v>
      </c>
    </row>
    <row r="87" spans="1:8" x14ac:dyDescent="0.45">
      <c r="A87">
        <v>1</v>
      </c>
      <c r="B87" t="s">
        <v>431</v>
      </c>
      <c r="C87">
        <v>401</v>
      </c>
      <c r="D87">
        <v>42</v>
      </c>
      <c r="E87" t="s">
        <v>5</v>
      </c>
      <c r="F87" t="s">
        <v>452</v>
      </c>
      <c r="H87">
        <v>1</v>
      </c>
    </row>
    <row r="88" spans="1:8" x14ac:dyDescent="0.45">
      <c r="A88">
        <v>1</v>
      </c>
      <c r="B88" t="s">
        <v>431</v>
      </c>
      <c r="C88">
        <v>401</v>
      </c>
      <c r="D88">
        <v>43</v>
      </c>
      <c r="E88" t="s">
        <v>7</v>
      </c>
      <c r="F88" t="s">
        <v>10</v>
      </c>
      <c r="H88">
        <v>1</v>
      </c>
    </row>
    <row r="89" spans="1:8" x14ac:dyDescent="0.45">
      <c r="A89">
        <v>1</v>
      </c>
      <c r="B89" t="s">
        <v>431</v>
      </c>
      <c r="C89">
        <v>801</v>
      </c>
      <c r="D89">
        <v>1</v>
      </c>
      <c r="E89" t="s">
        <v>7</v>
      </c>
      <c r="F89" t="s">
        <v>11</v>
      </c>
      <c r="H89">
        <v>1</v>
      </c>
    </row>
    <row r="90" spans="1:8" x14ac:dyDescent="0.45">
      <c r="A90">
        <v>1</v>
      </c>
      <c r="B90" t="s">
        <v>431</v>
      </c>
      <c r="C90">
        <v>801</v>
      </c>
      <c r="D90">
        <v>2</v>
      </c>
      <c r="E90" t="s">
        <v>5</v>
      </c>
      <c r="F90" t="s">
        <v>251</v>
      </c>
      <c r="H90">
        <v>1</v>
      </c>
    </row>
    <row r="91" spans="1:8" x14ac:dyDescent="0.45">
      <c r="A91">
        <v>1</v>
      </c>
      <c r="B91" t="s">
        <v>431</v>
      </c>
      <c r="C91">
        <v>801</v>
      </c>
      <c r="D91">
        <v>3</v>
      </c>
      <c r="E91" t="s">
        <v>5</v>
      </c>
      <c r="F91" t="s">
        <v>358</v>
      </c>
      <c r="G91" t="s">
        <v>171</v>
      </c>
      <c r="H91">
        <v>1</v>
      </c>
    </row>
    <row r="92" spans="1:8" x14ac:dyDescent="0.45">
      <c r="A92">
        <v>1</v>
      </c>
      <c r="B92" t="s">
        <v>431</v>
      </c>
      <c r="C92">
        <v>801</v>
      </c>
      <c r="D92">
        <v>4</v>
      </c>
      <c r="E92" t="s">
        <v>5</v>
      </c>
      <c r="F92" t="s">
        <v>130</v>
      </c>
      <c r="H92">
        <v>1</v>
      </c>
    </row>
    <row r="93" spans="1:8" x14ac:dyDescent="0.45">
      <c r="A93">
        <v>1</v>
      </c>
      <c r="B93" t="s">
        <v>431</v>
      </c>
      <c r="C93">
        <v>801</v>
      </c>
      <c r="D93">
        <v>5</v>
      </c>
      <c r="E93" t="s">
        <v>5</v>
      </c>
      <c r="F93" t="s">
        <v>453</v>
      </c>
      <c r="H93">
        <v>1</v>
      </c>
    </row>
    <row r="94" spans="1:8" x14ac:dyDescent="0.45">
      <c r="A94">
        <v>1</v>
      </c>
      <c r="B94" t="s">
        <v>431</v>
      </c>
      <c r="C94">
        <v>801</v>
      </c>
      <c r="D94">
        <v>6</v>
      </c>
      <c r="E94" t="s">
        <v>5</v>
      </c>
      <c r="F94" t="s">
        <v>219</v>
      </c>
      <c r="H94">
        <v>1</v>
      </c>
    </row>
    <row r="95" spans="1:8" x14ac:dyDescent="0.45">
      <c r="A95">
        <v>1</v>
      </c>
      <c r="B95" t="s">
        <v>431</v>
      </c>
      <c r="C95">
        <v>801</v>
      </c>
      <c r="D95">
        <v>7</v>
      </c>
      <c r="E95" t="s">
        <v>5</v>
      </c>
      <c r="F95" t="s">
        <v>454</v>
      </c>
      <c r="G95" t="s">
        <v>171</v>
      </c>
      <c r="H95">
        <v>1</v>
      </c>
    </row>
    <row r="96" spans="1:8" x14ac:dyDescent="0.45">
      <c r="A96">
        <v>1</v>
      </c>
      <c r="B96" t="s">
        <v>431</v>
      </c>
      <c r="C96">
        <v>801</v>
      </c>
      <c r="D96">
        <v>8</v>
      </c>
      <c r="E96" t="s">
        <v>7</v>
      </c>
      <c r="F96" t="s">
        <v>9</v>
      </c>
      <c r="H96">
        <v>1</v>
      </c>
    </row>
    <row r="97" spans="1:8" x14ac:dyDescent="0.45">
      <c r="A97">
        <v>1</v>
      </c>
      <c r="B97" t="s">
        <v>431</v>
      </c>
      <c r="C97">
        <v>801</v>
      </c>
      <c r="D97">
        <v>9</v>
      </c>
      <c r="E97" t="s">
        <v>5</v>
      </c>
      <c r="F97" t="s">
        <v>217</v>
      </c>
      <c r="H97">
        <v>1</v>
      </c>
    </row>
    <row r="98" spans="1:8" x14ac:dyDescent="0.45">
      <c r="A98">
        <v>1</v>
      </c>
      <c r="B98" t="s">
        <v>431</v>
      </c>
      <c r="C98">
        <v>801</v>
      </c>
      <c r="D98">
        <v>10</v>
      </c>
      <c r="E98" t="s">
        <v>7</v>
      </c>
      <c r="F98" t="s">
        <v>11</v>
      </c>
      <c r="H98">
        <v>1</v>
      </c>
    </row>
    <row r="99" spans="1:8" x14ac:dyDescent="0.45">
      <c r="A99">
        <v>1</v>
      </c>
      <c r="B99" t="s">
        <v>431</v>
      </c>
      <c r="C99">
        <v>801</v>
      </c>
      <c r="D99">
        <v>11</v>
      </c>
      <c r="E99" t="s">
        <v>5</v>
      </c>
      <c r="F99" t="s">
        <v>455</v>
      </c>
      <c r="H99">
        <v>1</v>
      </c>
    </row>
    <row r="100" spans="1:8" x14ac:dyDescent="0.45">
      <c r="A100">
        <v>1</v>
      </c>
      <c r="B100" t="s">
        <v>431</v>
      </c>
      <c r="C100">
        <v>801</v>
      </c>
      <c r="D100">
        <v>12</v>
      </c>
      <c r="E100" t="s">
        <v>5</v>
      </c>
      <c r="F100" t="s">
        <v>41</v>
      </c>
      <c r="H100">
        <v>1</v>
      </c>
    </row>
    <row r="101" spans="1:8" x14ac:dyDescent="0.45">
      <c r="A101">
        <v>1</v>
      </c>
      <c r="B101" t="s">
        <v>431</v>
      </c>
      <c r="C101">
        <v>801</v>
      </c>
      <c r="D101">
        <v>13</v>
      </c>
      <c r="E101" t="s">
        <v>5</v>
      </c>
      <c r="F101" t="s">
        <v>456</v>
      </c>
      <c r="H101">
        <v>1</v>
      </c>
    </row>
    <row r="102" spans="1:8" x14ac:dyDescent="0.45">
      <c r="A102">
        <v>1</v>
      </c>
      <c r="B102" t="s">
        <v>431</v>
      </c>
      <c r="C102">
        <v>801</v>
      </c>
      <c r="D102">
        <v>14</v>
      </c>
      <c r="E102" t="s">
        <v>5</v>
      </c>
      <c r="F102" t="s">
        <v>88</v>
      </c>
      <c r="H102">
        <v>1</v>
      </c>
    </row>
    <row r="103" spans="1:8" x14ac:dyDescent="0.45">
      <c r="A103">
        <v>1</v>
      </c>
      <c r="B103" t="s">
        <v>431</v>
      </c>
      <c r="C103">
        <v>801</v>
      </c>
      <c r="D103">
        <v>15</v>
      </c>
      <c r="E103" t="s">
        <v>7</v>
      </c>
      <c r="F103" t="s">
        <v>9</v>
      </c>
      <c r="H103">
        <v>1</v>
      </c>
    </row>
    <row r="104" spans="1:8" x14ac:dyDescent="0.45">
      <c r="A104">
        <v>1</v>
      </c>
      <c r="B104" t="s">
        <v>431</v>
      </c>
      <c r="C104">
        <v>801</v>
      </c>
      <c r="D104">
        <v>16</v>
      </c>
      <c r="E104" t="s">
        <v>5</v>
      </c>
      <c r="F104" t="s">
        <v>251</v>
      </c>
      <c r="G104" t="s">
        <v>171</v>
      </c>
      <c r="H104">
        <v>1</v>
      </c>
    </row>
    <row r="105" spans="1:8" x14ac:dyDescent="0.45">
      <c r="A105">
        <v>1</v>
      </c>
      <c r="B105" t="s">
        <v>431</v>
      </c>
      <c r="C105">
        <v>801</v>
      </c>
      <c r="D105">
        <v>17</v>
      </c>
      <c r="E105" t="s">
        <v>18</v>
      </c>
      <c r="F105" t="s">
        <v>457</v>
      </c>
      <c r="H105">
        <v>1</v>
      </c>
    </row>
    <row r="106" spans="1:8" x14ac:dyDescent="0.45">
      <c r="A106">
        <v>1</v>
      </c>
      <c r="B106" t="s">
        <v>431</v>
      </c>
      <c r="C106">
        <v>801</v>
      </c>
      <c r="D106">
        <v>18</v>
      </c>
      <c r="E106" t="s">
        <v>5</v>
      </c>
      <c r="F106" t="s">
        <v>130</v>
      </c>
      <c r="H106">
        <v>1</v>
      </c>
    </row>
    <row r="107" spans="1:8" x14ac:dyDescent="0.45">
      <c r="A107">
        <v>1</v>
      </c>
      <c r="B107" t="s">
        <v>431</v>
      </c>
      <c r="C107">
        <v>801</v>
      </c>
      <c r="D107">
        <v>19</v>
      </c>
      <c r="E107" t="s">
        <v>5</v>
      </c>
      <c r="F107" t="s">
        <v>129</v>
      </c>
      <c r="H107">
        <v>1</v>
      </c>
    </row>
    <row r="108" spans="1:8" x14ac:dyDescent="0.45">
      <c r="A108">
        <v>1</v>
      </c>
      <c r="B108" t="s">
        <v>431</v>
      </c>
      <c r="C108">
        <v>801</v>
      </c>
      <c r="D108">
        <v>20</v>
      </c>
      <c r="E108" t="s">
        <v>5</v>
      </c>
      <c r="F108" t="s">
        <v>251</v>
      </c>
      <c r="H108">
        <v>1</v>
      </c>
    </row>
    <row r="109" spans="1:8" x14ac:dyDescent="0.45">
      <c r="A109">
        <v>1</v>
      </c>
      <c r="B109" t="s">
        <v>431</v>
      </c>
      <c r="C109">
        <v>801</v>
      </c>
      <c r="D109">
        <v>21</v>
      </c>
      <c r="E109" t="s">
        <v>18</v>
      </c>
      <c r="F109" t="s">
        <v>458</v>
      </c>
      <c r="H109">
        <v>1</v>
      </c>
    </row>
    <row r="110" spans="1:8" x14ac:dyDescent="0.45">
      <c r="A110">
        <v>1</v>
      </c>
      <c r="B110" t="s">
        <v>431</v>
      </c>
      <c r="C110">
        <v>801</v>
      </c>
      <c r="D110">
        <v>22</v>
      </c>
      <c r="E110" t="s">
        <v>7</v>
      </c>
      <c r="F110" t="s">
        <v>10</v>
      </c>
      <c r="H110">
        <v>1</v>
      </c>
    </row>
    <row r="111" spans="1:8" x14ac:dyDescent="0.45">
      <c r="A111">
        <v>1</v>
      </c>
      <c r="B111" t="s">
        <v>431</v>
      </c>
      <c r="C111">
        <v>801</v>
      </c>
      <c r="D111">
        <v>23</v>
      </c>
      <c r="E111" t="s">
        <v>5</v>
      </c>
      <c r="F111" t="s">
        <v>358</v>
      </c>
      <c r="H111">
        <v>1</v>
      </c>
    </row>
    <row r="112" spans="1:8" x14ac:dyDescent="0.45">
      <c r="A112">
        <v>1</v>
      </c>
      <c r="B112" t="s">
        <v>431</v>
      </c>
      <c r="C112">
        <v>801</v>
      </c>
      <c r="D112">
        <v>24</v>
      </c>
      <c r="E112" t="s">
        <v>5</v>
      </c>
      <c r="F112" t="s">
        <v>88</v>
      </c>
      <c r="H112">
        <v>1</v>
      </c>
    </row>
    <row r="113" spans="1:8" x14ac:dyDescent="0.45">
      <c r="A113">
        <v>1</v>
      </c>
      <c r="B113" t="s">
        <v>431</v>
      </c>
      <c r="C113">
        <v>801</v>
      </c>
      <c r="D113">
        <v>25</v>
      </c>
      <c r="E113" t="s">
        <v>7</v>
      </c>
      <c r="F113" t="s">
        <v>10</v>
      </c>
      <c r="H113">
        <v>1</v>
      </c>
    </row>
    <row r="114" spans="1:8" x14ac:dyDescent="0.45">
      <c r="A114">
        <v>1</v>
      </c>
      <c r="B114" t="s">
        <v>431</v>
      </c>
      <c r="C114">
        <v>801</v>
      </c>
      <c r="D114">
        <v>26</v>
      </c>
      <c r="E114" t="s">
        <v>5</v>
      </c>
      <c r="F114" t="s">
        <v>406</v>
      </c>
      <c r="H114">
        <v>1</v>
      </c>
    </row>
    <row r="115" spans="1:8" x14ac:dyDescent="0.45">
      <c r="A115">
        <v>1</v>
      </c>
      <c r="B115" t="s">
        <v>431</v>
      </c>
      <c r="C115">
        <v>801</v>
      </c>
      <c r="D115">
        <v>27</v>
      </c>
      <c r="E115" t="s">
        <v>5</v>
      </c>
      <c r="F115" t="s">
        <v>459</v>
      </c>
      <c r="H115">
        <v>1</v>
      </c>
    </row>
    <row r="116" spans="1:8" x14ac:dyDescent="0.45">
      <c r="A116">
        <v>1</v>
      </c>
      <c r="B116" t="s">
        <v>431</v>
      </c>
      <c r="C116">
        <v>801</v>
      </c>
      <c r="D116">
        <v>28</v>
      </c>
      <c r="E116" t="s">
        <v>5</v>
      </c>
      <c r="F116" t="s">
        <v>40</v>
      </c>
      <c r="G116" t="s">
        <v>171</v>
      </c>
      <c r="H116">
        <v>1</v>
      </c>
    </row>
    <row r="117" spans="1:8" x14ac:dyDescent="0.45">
      <c r="A117">
        <v>1</v>
      </c>
      <c r="B117" t="s">
        <v>431</v>
      </c>
      <c r="C117">
        <v>801</v>
      </c>
      <c r="D117">
        <v>29</v>
      </c>
      <c r="E117" t="s">
        <v>5</v>
      </c>
      <c r="F117" t="s">
        <v>129</v>
      </c>
      <c r="H117">
        <v>1</v>
      </c>
    </row>
    <row r="118" spans="1:8" x14ac:dyDescent="0.45">
      <c r="A118">
        <v>1</v>
      </c>
      <c r="B118" t="s">
        <v>431</v>
      </c>
      <c r="C118">
        <v>801</v>
      </c>
      <c r="D118">
        <v>30</v>
      </c>
      <c r="E118" t="s">
        <v>7</v>
      </c>
      <c r="F118" t="s">
        <v>9</v>
      </c>
      <c r="H118">
        <v>1</v>
      </c>
    </row>
    <row r="119" spans="1:8" x14ac:dyDescent="0.45">
      <c r="A119">
        <v>1</v>
      </c>
      <c r="B119" t="s">
        <v>431</v>
      </c>
      <c r="C119">
        <v>801</v>
      </c>
      <c r="D119">
        <v>31</v>
      </c>
      <c r="E119" t="s">
        <v>5</v>
      </c>
      <c r="F119" t="s">
        <v>217</v>
      </c>
      <c r="H119">
        <v>1</v>
      </c>
    </row>
    <row r="120" spans="1:8" x14ac:dyDescent="0.45">
      <c r="A120">
        <v>1</v>
      </c>
      <c r="B120" t="s">
        <v>431</v>
      </c>
      <c r="C120">
        <v>801</v>
      </c>
      <c r="D120">
        <v>32</v>
      </c>
      <c r="E120" t="s">
        <v>5</v>
      </c>
      <c r="F120" t="s">
        <v>45</v>
      </c>
      <c r="H120">
        <v>1</v>
      </c>
    </row>
    <row r="121" spans="1:8" x14ac:dyDescent="0.45">
      <c r="A121">
        <v>1</v>
      </c>
      <c r="B121" t="s">
        <v>431</v>
      </c>
      <c r="C121">
        <v>801</v>
      </c>
      <c r="D121">
        <v>33</v>
      </c>
      <c r="E121" t="s">
        <v>5</v>
      </c>
      <c r="F121" t="s">
        <v>460</v>
      </c>
      <c r="H121">
        <v>1</v>
      </c>
    </row>
    <row r="122" spans="1:8" x14ac:dyDescent="0.45">
      <c r="A122">
        <v>1</v>
      </c>
      <c r="B122" t="s">
        <v>431</v>
      </c>
      <c r="C122">
        <v>801</v>
      </c>
      <c r="D122">
        <v>34</v>
      </c>
      <c r="E122" t="s">
        <v>7</v>
      </c>
      <c r="F122" t="s">
        <v>11</v>
      </c>
      <c r="H122">
        <v>1</v>
      </c>
    </row>
    <row r="123" spans="1:8" x14ac:dyDescent="0.45">
      <c r="A123">
        <v>1</v>
      </c>
      <c r="B123" t="s">
        <v>431</v>
      </c>
      <c r="C123">
        <v>801</v>
      </c>
      <c r="D123">
        <v>35</v>
      </c>
      <c r="E123" t="s">
        <v>7</v>
      </c>
      <c r="F123" t="s">
        <v>10</v>
      </c>
      <c r="H123">
        <v>1</v>
      </c>
    </row>
    <row r="124" spans="1:8" x14ac:dyDescent="0.45">
      <c r="A124">
        <v>1</v>
      </c>
      <c r="B124" t="s">
        <v>431</v>
      </c>
      <c r="C124">
        <v>801</v>
      </c>
      <c r="D124">
        <v>36</v>
      </c>
      <c r="E124" t="s">
        <v>5</v>
      </c>
      <c r="F124" t="s">
        <v>40</v>
      </c>
      <c r="H124">
        <v>1</v>
      </c>
    </row>
    <row r="125" spans="1:8" x14ac:dyDescent="0.45">
      <c r="A125">
        <v>1</v>
      </c>
      <c r="B125" t="s">
        <v>431</v>
      </c>
      <c r="C125">
        <v>801</v>
      </c>
      <c r="D125">
        <v>37</v>
      </c>
      <c r="E125" t="s">
        <v>7</v>
      </c>
      <c r="F125" t="s">
        <v>10</v>
      </c>
      <c r="H125">
        <v>1</v>
      </c>
    </row>
    <row r="126" spans="1:8" x14ac:dyDescent="0.45">
      <c r="A126">
        <v>1</v>
      </c>
      <c r="B126" t="s">
        <v>431</v>
      </c>
      <c r="C126">
        <v>801</v>
      </c>
      <c r="D126">
        <v>38</v>
      </c>
      <c r="E126" t="s">
        <v>5</v>
      </c>
      <c r="F126" t="s">
        <v>167</v>
      </c>
      <c r="H126">
        <v>1</v>
      </c>
    </row>
    <row r="127" spans="1:8" x14ac:dyDescent="0.45">
      <c r="A127">
        <v>1</v>
      </c>
      <c r="B127" t="s">
        <v>431</v>
      </c>
      <c r="C127">
        <v>801</v>
      </c>
      <c r="D127">
        <v>39</v>
      </c>
      <c r="E127" t="s">
        <v>5</v>
      </c>
      <c r="F127" t="s">
        <v>461</v>
      </c>
      <c r="H127">
        <v>1</v>
      </c>
    </row>
    <row r="128" spans="1:8" x14ac:dyDescent="0.45">
      <c r="A128">
        <v>1</v>
      </c>
      <c r="B128" t="s">
        <v>431</v>
      </c>
      <c r="C128">
        <v>801</v>
      </c>
      <c r="D128">
        <v>40</v>
      </c>
      <c r="E128" t="s">
        <v>5</v>
      </c>
      <c r="F128" t="s">
        <v>462</v>
      </c>
      <c r="H128">
        <v>1</v>
      </c>
    </row>
    <row r="129" spans="1:8" x14ac:dyDescent="0.45">
      <c r="A129">
        <v>1</v>
      </c>
      <c r="B129" t="s">
        <v>431</v>
      </c>
      <c r="C129">
        <v>801</v>
      </c>
      <c r="D129">
        <v>41</v>
      </c>
      <c r="E129" t="s">
        <v>7</v>
      </c>
      <c r="F129" t="s">
        <v>10</v>
      </c>
      <c r="H129">
        <v>1</v>
      </c>
    </row>
    <row r="130" spans="1:8" x14ac:dyDescent="0.45">
      <c r="A130">
        <v>1</v>
      </c>
      <c r="B130" t="s">
        <v>431</v>
      </c>
      <c r="C130">
        <v>801</v>
      </c>
      <c r="D130">
        <v>42</v>
      </c>
      <c r="E130" t="s">
        <v>7</v>
      </c>
      <c r="F130" t="s">
        <v>9</v>
      </c>
      <c r="H130">
        <v>1</v>
      </c>
    </row>
    <row r="131" spans="1:8" x14ac:dyDescent="0.45">
      <c r="A131">
        <v>1</v>
      </c>
      <c r="B131" t="s">
        <v>431</v>
      </c>
      <c r="C131">
        <v>1201</v>
      </c>
      <c r="D131">
        <v>1</v>
      </c>
      <c r="E131" t="s">
        <v>7</v>
      </c>
      <c r="F131" t="s">
        <v>11</v>
      </c>
      <c r="H131">
        <v>1</v>
      </c>
    </row>
    <row r="132" spans="1:8" x14ac:dyDescent="0.45">
      <c r="A132">
        <v>1</v>
      </c>
      <c r="B132" t="s">
        <v>431</v>
      </c>
      <c r="C132">
        <v>1201</v>
      </c>
      <c r="D132">
        <v>2</v>
      </c>
      <c r="E132" t="s">
        <v>7</v>
      </c>
      <c r="F132" t="s">
        <v>9</v>
      </c>
      <c r="H132">
        <v>1</v>
      </c>
    </row>
    <row r="133" spans="1:8" x14ac:dyDescent="0.45">
      <c r="A133">
        <v>1</v>
      </c>
      <c r="B133" t="s">
        <v>431</v>
      </c>
      <c r="C133">
        <v>1201</v>
      </c>
      <c r="D133">
        <v>3</v>
      </c>
      <c r="E133" t="s">
        <v>5</v>
      </c>
      <c r="F133" t="s">
        <v>330</v>
      </c>
      <c r="H133">
        <v>1</v>
      </c>
    </row>
    <row r="134" spans="1:8" x14ac:dyDescent="0.45">
      <c r="A134">
        <v>1</v>
      </c>
      <c r="B134" t="s">
        <v>431</v>
      </c>
      <c r="C134">
        <v>1201</v>
      </c>
      <c r="D134">
        <v>4</v>
      </c>
      <c r="E134" t="s">
        <v>7</v>
      </c>
      <c r="F134" t="s">
        <v>9</v>
      </c>
      <c r="H134">
        <v>1</v>
      </c>
    </row>
    <row r="135" spans="1:8" x14ac:dyDescent="0.45">
      <c r="A135">
        <v>1</v>
      </c>
      <c r="B135" t="s">
        <v>431</v>
      </c>
      <c r="C135">
        <v>1201</v>
      </c>
      <c r="D135">
        <v>5</v>
      </c>
      <c r="E135" t="s">
        <v>7</v>
      </c>
      <c r="F135" t="s">
        <v>9</v>
      </c>
      <c r="H135">
        <v>1</v>
      </c>
    </row>
    <row r="136" spans="1:8" x14ac:dyDescent="0.45">
      <c r="A136">
        <v>1</v>
      </c>
      <c r="B136" t="s">
        <v>431</v>
      </c>
      <c r="C136">
        <v>1201</v>
      </c>
      <c r="D136">
        <v>6</v>
      </c>
      <c r="E136" t="s">
        <v>18</v>
      </c>
      <c r="F136" t="s">
        <v>226</v>
      </c>
      <c r="H136">
        <v>1</v>
      </c>
    </row>
    <row r="137" spans="1:8" x14ac:dyDescent="0.45">
      <c r="A137">
        <v>1</v>
      </c>
      <c r="B137" t="s">
        <v>431</v>
      </c>
      <c r="C137">
        <v>1201</v>
      </c>
      <c r="D137">
        <v>7</v>
      </c>
      <c r="E137" t="s">
        <v>18</v>
      </c>
      <c r="F137" t="s">
        <v>463</v>
      </c>
      <c r="G137" t="s">
        <v>171</v>
      </c>
      <c r="H137">
        <v>1</v>
      </c>
    </row>
    <row r="138" spans="1:8" x14ac:dyDescent="0.45">
      <c r="A138">
        <v>1</v>
      </c>
      <c r="B138" t="s">
        <v>431</v>
      </c>
      <c r="C138">
        <v>1201</v>
      </c>
      <c r="D138">
        <v>8</v>
      </c>
      <c r="E138" t="s">
        <v>7</v>
      </c>
      <c r="F138" t="s">
        <v>9</v>
      </c>
      <c r="H138">
        <v>1</v>
      </c>
    </row>
    <row r="139" spans="1:8" x14ac:dyDescent="0.45">
      <c r="A139">
        <v>1</v>
      </c>
      <c r="B139" t="s">
        <v>431</v>
      </c>
      <c r="C139">
        <v>1201</v>
      </c>
      <c r="D139">
        <v>9</v>
      </c>
      <c r="E139" t="s">
        <v>5</v>
      </c>
      <c r="F139" t="s">
        <v>464</v>
      </c>
      <c r="H139">
        <v>1</v>
      </c>
    </row>
    <row r="140" spans="1:8" x14ac:dyDescent="0.45">
      <c r="A140">
        <v>1</v>
      </c>
      <c r="B140" t="s">
        <v>431</v>
      </c>
      <c r="C140">
        <v>1201</v>
      </c>
      <c r="D140">
        <v>10</v>
      </c>
      <c r="E140" t="s">
        <v>5</v>
      </c>
      <c r="F140" t="s">
        <v>281</v>
      </c>
      <c r="H140">
        <v>1</v>
      </c>
    </row>
    <row r="141" spans="1:8" x14ac:dyDescent="0.45">
      <c r="A141">
        <v>1</v>
      </c>
      <c r="B141" t="s">
        <v>431</v>
      </c>
      <c r="C141">
        <v>1201</v>
      </c>
      <c r="D141">
        <v>11</v>
      </c>
      <c r="E141" t="s">
        <v>5</v>
      </c>
      <c r="F141" t="s">
        <v>52</v>
      </c>
      <c r="G141" t="s">
        <v>171</v>
      </c>
      <c r="H141">
        <v>1</v>
      </c>
    </row>
    <row r="142" spans="1:8" x14ac:dyDescent="0.45">
      <c r="A142">
        <v>1</v>
      </c>
      <c r="B142" t="s">
        <v>431</v>
      </c>
      <c r="C142">
        <v>1201</v>
      </c>
      <c r="D142">
        <v>12</v>
      </c>
      <c r="E142" t="s">
        <v>5</v>
      </c>
      <c r="F142" t="s">
        <v>465</v>
      </c>
      <c r="G142" t="s">
        <v>171</v>
      </c>
      <c r="H142">
        <v>1</v>
      </c>
    </row>
    <row r="143" spans="1:8" x14ac:dyDescent="0.45">
      <c r="A143">
        <v>1</v>
      </c>
      <c r="B143" t="s">
        <v>431</v>
      </c>
      <c r="C143">
        <v>1201</v>
      </c>
      <c r="D143">
        <v>13</v>
      </c>
      <c r="E143" t="s">
        <v>18</v>
      </c>
      <c r="F143" t="s">
        <v>364</v>
      </c>
      <c r="H143">
        <v>1</v>
      </c>
    </row>
    <row r="144" spans="1:8" x14ac:dyDescent="0.45">
      <c r="A144">
        <v>1</v>
      </c>
      <c r="B144" t="s">
        <v>431</v>
      </c>
      <c r="C144">
        <v>1201</v>
      </c>
      <c r="D144">
        <v>14</v>
      </c>
      <c r="E144" t="s">
        <v>7</v>
      </c>
      <c r="F144" t="s">
        <v>11</v>
      </c>
      <c r="H144">
        <v>1</v>
      </c>
    </row>
    <row r="145" spans="1:8" x14ac:dyDescent="0.45">
      <c r="A145">
        <v>1</v>
      </c>
      <c r="B145" t="s">
        <v>431</v>
      </c>
      <c r="C145">
        <v>1201</v>
      </c>
      <c r="D145">
        <v>15</v>
      </c>
      <c r="E145" t="s">
        <v>7</v>
      </c>
      <c r="F145" t="s">
        <v>11</v>
      </c>
      <c r="H145">
        <v>1</v>
      </c>
    </row>
    <row r="146" spans="1:8" x14ac:dyDescent="0.45">
      <c r="A146">
        <v>1</v>
      </c>
      <c r="B146" t="s">
        <v>431</v>
      </c>
      <c r="C146">
        <v>1201</v>
      </c>
      <c r="D146">
        <v>16</v>
      </c>
      <c r="E146" t="s">
        <v>7</v>
      </c>
      <c r="F146" t="s">
        <v>11</v>
      </c>
      <c r="H146">
        <v>1</v>
      </c>
    </row>
    <row r="147" spans="1:8" x14ac:dyDescent="0.45">
      <c r="A147">
        <v>1</v>
      </c>
      <c r="B147" t="s">
        <v>431</v>
      </c>
      <c r="C147">
        <v>1201</v>
      </c>
      <c r="D147">
        <v>17</v>
      </c>
      <c r="E147" t="s">
        <v>7</v>
      </c>
      <c r="F147" t="s">
        <v>10</v>
      </c>
      <c r="H147">
        <v>1</v>
      </c>
    </row>
    <row r="148" spans="1:8" x14ac:dyDescent="0.45">
      <c r="A148">
        <v>1</v>
      </c>
      <c r="B148" t="s">
        <v>431</v>
      </c>
      <c r="C148">
        <v>1201</v>
      </c>
      <c r="D148">
        <v>18</v>
      </c>
      <c r="E148" t="s">
        <v>7</v>
      </c>
      <c r="F148" t="s">
        <v>11</v>
      </c>
      <c r="H148">
        <v>1</v>
      </c>
    </row>
    <row r="149" spans="1:8" x14ac:dyDescent="0.45">
      <c r="A149">
        <v>1</v>
      </c>
      <c r="B149" t="s">
        <v>431</v>
      </c>
      <c r="C149">
        <v>1201</v>
      </c>
      <c r="D149">
        <v>19</v>
      </c>
      <c r="E149" t="s">
        <v>5</v>
      </c>
      <c r="F149" t="s">
        <v>60</v>
      </c>
      <c r="H149">
        <v>1</v>
      </c>
    </row>
    <row r="150" spans="1:8" x14ac:dyDescent="0.45">
      <c r="A150">
        <v>1</v>
      </c>
      <c r="B150" t="s">
        <v>431</v>
      </c>
      <c r="C150">
        <v>1201</v>
      </c>
      <c r="D150">
        <v>20</v>
      </c>
      <c r="E150" t="s">
        <v>5</v>
      </c>
      <c r="F150" t="s">
        <v>466</v>
      </c>
      <c r="H150">
        <v>1</v>
      </c>
    </row>
    <row r="151" spans="1:8" x14ac:dyDescent="0.45">
      <c r="A151">
        <v>1</v>
      </c>
      <c r="B151" t="s">
        <v>431</v>
      </c>
      <c r="C151">
        <v>1201</v>
      </c>
      <c r="D151">
        <v>21</v>
      </c>
      <c r="E151" t="s">
        <v>18</v>
      </c>
      <c r="F151" t="s">
        <v>49</v>
      </c>
      <c r="H151">
        <v>1</v>
      </c>
    </row>
    <row r="152" spans="1:8" x14ac:dyDescent="0.45">
      <c r="A152">
        <v>1</v>
      </c>
      <c r="B152" t="s">
        <v>431</v>
      </c>
      <c r="C152">
        <v>1201</v>
      </c>
      <c r="D152">
        <v>22</v>
      </c>
      <c r="E152" t="s">
        <v>5</v>
      </c>
      <c r="F152" t="s">
        <v>180</v>
      </c>
      <c r="H152">
        <v>1</v>
      </c>
    </row>
    <row r="153" spans="1:8" x14ac:dyDescent="0.45">
      <c r="A153">
        <v>1</v>
      </c>
      <c r="B153" t="s">
        <v>431</v>
      </c>
      <c r="C153">
        <v>1201</v>
      </c>
      <c r="D153">
        <v>23</v>
      </c>
      <c r="E153" t="s">
        <v>5</v>
      </c>
      <c r="F153" t="s">
        <v>467</v>
      </c>
      <c r="H153">
        <v>1</v>
      </c>
    </row>
    <row r="154" spans="1:8" x14ac:dyDescent="0.45">
      <c r="A154">
        <v>1</v>
      </c>
      <c r="B154" t="s">
        <v>431</v>
      </c>
      <c r="C154">
        <v>1201</v>
      </c>
      <c r="D154">
        <v>24</v>
      </c>
      <c r="E154" t="s">
        <v>7</v>
      </c>
      <c r="F154" t="s">
        <v>10</v>
      </c>
      <c r="H154">
        <v>1</v>
      </c>
    </row>
    <row r="155" spans="1:8" x14ac:dyDescent="0.45">
      <c r="A155">
        <v>1</v>
      </c>
      <c r="B155" t="s">
        <v>431</v>
      </c>
      <c r="C155">
        <v>1201</v>
      </c>
      <c r="D155">
        <v>25</v>
      </c>
      <c r="E155" t="s">
        <v>5</v>
      </c>
      <c r="F155" t="s">
        <v>226</v>
      </c>
      <c r="H155">
        <v>1</v>
      </c>
    </row>
    <row r="156" spans="1:8" x14ac:dyDescent="0.45">
      <c r="A156">
        <v>1</v>
      </c>
      <c r="B156" t="s">
        <v>431</v>
      </c>
      <c r="C156">
        <v>1201</v>
      </c>
      <c r="D156">
        <v>26</v>
      </c>
      <c r="E156" t="s">
        <v>7</v>
      </c>
      <c r="F156" t="s">
        <v>381</v>
      </c>
      <c r="H156">
        <v>1</v>
      </c>
    </row>
    <row r="157" spans="1:8" x14ac:dyDescent="0.45">
      <c r="A157">
        <v>1</v>
      </c>
      <c r="B157" t="s">
        <v>431</v>
      </c>
      <c r="C157">
        <v>1201</v>
      </c>
      <c r="D157">
        <v>27</v>
      </c>
      <c r="E157" t="s">
        <v>7</v>
      </c>
      <c r="F157" t="s">
        <v>9</v>
      </c>
      <c r="H157">
        <v>1</v>
      </c>
    </row>
    <row r="158" spans="1:8" x14ac:dyDescent="0.45">
      <c r="A158">
        <v>1</v>
      </c>
      <c r="B158" t="s">
        <v>431</v>
      </c>
      <c r="C158">
        <v>1201</v>
      </c>
      <c r="D158">
        <v>28</v>
      </c>
      <c r="E158" t="s">
        <v>7</v>
      </c>
      <c r="F158" t="s">
        <v>9</v>
      </c>
      <c r="H158">
        <v>1</v>
      </c>
    </row>
    <row r="159" spans="1:8" x14ac:dyDescent="0.45">
      <c r="A159">
        <v>1</v>
      </c>
      <c r="B159" t="s">
        <v>431</v>
      </c>
      <c r="C159">
        <v>1201</v>
      </c>
      <c r="D159">
        <v>29</v>
      </c>
      <c r="E159" t="s">
        <v>5</v>
      </c>
      <c r="F159" t="s">
        <v>92</v>
      </c>
      <c r="H159">
        <v>1</v>
      </c>
    </row>
    <row r="160" spans="1:8" x14ac:dyDescent="0.45">
      <c r="A160">
        <v>1</v>
      </c>
      <c r="B160" t="s">
        <v>431</v>
      </c>
      <c r="C160">
        <v>1201</v>
      </c>
      <c r="D160">
        <v>30</v>
      </c>
      <c r="E160" t="s">
        <v>5</v>
      </c>
      <c r="F160" t="s">
        <v>60</v>
      </c>
      <c r="H160">
        <v>1</v>
      </c>
    </row>
    <row r="161" spans="1:8" x14ac:dyDescent="0.45">
      <c r="A161">
        <v>1</v>
      </c>
      <c r="B161" t="s">
        <v>431</v>
      </c>
      <c r="C161">
        <v>1201</v>
      </c>
      <c r="D161">
        <v>31</v>
      </c>
      <c r="E161" t="s">
        <v>7</v>
      </c>
      <c r="F161" t="s">
        <v>10</v>
      </c>
      <c r="H161">
        <v>1</v>
      </c>
    </row>
    <row r="162" spans="1:8" x14ac:dyDescent="0.45">
      <c r="A162">
        <v>1</v>
      </c>
      <c r="B162" t="s">
        <v>431</v>
      </c>
      <c r="C162">
        <v>1201</v>
      </c>
      <c r="D162">
        <v>32</v>
      </c>
      <c r="E162" t="s">
        <v>18</v>
      </c>
      <c r="F162" t="s">
        <v>468</v>
      </c>
      <c r="H162">
        <v>1</v>
      </c>
    </row>
    <row r="163" spans="1:8" x14ac:dyDescent="0.45">
      <c r="A163">
        <v>1</v>
      </c>
      <c r="B163" t="s">
        <v>431</v>
      </c>
      <c r="C163">
        <v>1201</v>
      </c>
      <c r="D163">
        <v>33</v>
      </c>
      <c r="E163" t="s">
        <v>5</v>
      </c>
      <c r="F163" t="s">
        <v>137</v>
      </c>
      <c r="H163">
        <v>1</v>
      </c>
    </row>
    <row r="164" spans="1:8" x14ac:dyDescent="0.45">
      <c r="A164">
        <v>1</v>
      </c>
      <c r="B164" t="s">
        <v>431</v>
      </c>
      <c r="C164">
        <v>1201</v>
      </c>
      <c r="D164">
        <v>34</v>
      </c>
      <c r="E164" t="s">
        <v>5</v>
      </c>
      <c r="F164" t="s">
        <v>469</v>
      </c>
      <c r="H164">
        <v>1</v>
      </c>
    </row>
    <row r="165" spans="1:8" x14ac:dyDescent="0.45">
      <c r="A165">
        <v>1</v>
      </c>
      <c r="B165" t="s">
        <v>431</v>
      </c>
      <c r="C165">
        <v>1201</v>
      </c>
      <c r="D165">
        <v>35</v>
      </c>
      <c r="E165" t="s">
        <v>7</v>
      </c>
      <c r="F165" t="s">
        <v>9</v>
      </c>
      <c r="H165">
        <v>1</v>
      </c>
    </row>
    <row r="166" spans="1:8" x14ac:dyDescent="0.45">
      <c r="A166">
        <v>1</v>
      </c>
      <c r="B166" t="s">
        <v>431</v>
      </c>
      <c r="C166">
        <v>1201</v>
      </c>
      <c r="D166">
        <v>36</v>
      </c>
      <c r="E166" t="s">
        <v>18</v>
      </c>
      <c r="F166" t="s">
        <v>470</v>
      </c>
      <c r="G166" t="s">
        <v>171</v>
      </c>
      <c r="H166">
        <v>1</v>
      </c>
    </row>
    <row r="167" spans="1:8" x14ac:dyDescent="0.45">
      <c r="A167">
        <v>1</v>
      </c>
      <c r="B167" t="s">
        <v>431</v>
      </c>
      <c r="C167">
        <v>1201</v>
      </c>
      <c r="D167">
        <v>37</v>
      </c>
      <c r="E167" t="s">
        <v>5</v>
      </c>
      <c r="F167" t="s">
        <v>50</v>
      </c>
      <c r="H167">
        <v>1</v>
      </c>
    </row>
    <row r="168" spans="1:8" x14ac:dyDescent="0.45">
      <c r="A168">
        <v>1</v>
      </c>
      <c r="B168" t="s">
        <v>431</v>
      </c>
      <c r="C168">
        <v>1201</v>
      </c>
      <c r="D168">
        <v>38</v>
      </c>
      <c r="E168" t="s">
        <v>5</v>
      </c>
      <c r="F168" t="s">
        <v>471</v>
      </c>
      <c r="H168">
        <v>1</v>
      </c>
    </row>
    <row r="169" spans="1:8" x14ac:dyDescent="0.45">
      <c r="A169">
        <v>1</v>
      </c>
      <c r="B169" t="s">
        <v>431</v>
      </c>
      <c r="C169">
        <v>1201</v>
      </c>
      <c r="D169">
        <v>39</v>
      </c>
      <c r="E169" t="s">
        <v>7</v>
      </c>
      <c r="F169" t="s">
        <v>9</v>
      </c>
      <c r="H169">
        <v>1</v>
      </c>
    </row>
    <row r="170" spans="1:8" x14ac:dyDescent="0.45">
      <c r="A170">
        <v>1</v>
      </c>
      <c r="B170" t="s">
        <v>431</v>
      </c>
      <c r="C170">
        <v>1201</v>
      </c>
      <c r="D170">
        <v>40</v>
      </c>
      <c r="E170" t="s">
        <v>7</v>
      </c>
      <c r="F170" t="s">
        <v>9</v>
      </c>
      <c r="H170">
        <v>1</v>
      </c>
    </row>
    <row r="171" spans="1:8" x14ac:dyDescent="0.45">
      <c r="A171">
        <v>1</v>
      </c>
      <c r="D171">
        <v>1</v>
      </c>
      <c r="H171">
        <v>1</v>
      </c>
    </row>
    <row r="172" spans="1:8" x14ac:dyDescent="0.45">
      <c r="A172">
        <v>1</v>
      </c>
      <c r="D172">
        <v>2</v>
      </c>
      <c r="H172">
        <v>1</v>
      </c>
    </row>
    <row r="173" spans="1:8" x14ac:dyDescent="0.45">
      <c r="A173">
        <v>1</v>
      </c>
      <c r="H173">
        <v>1</v>
      </c>
    </row>
    <row r="174" spans="1:8" x14ac:dyDescent="0.45">
      <c r="A174">
        <v>1</v>
      </c>
      <c r="H174">
        <v>1</v>
      </c>
    </row>
    <row r="175" spans="1:8" x14ac:dyDescent="0.45">
      <c r="A175">
        <v>1</v>
      </c>
      <c r="H175">
        <v>1</v>
      </c>
    </row>
    <row r="176" spans="1:8" x14ac:dyDescent="0.45">
      <c r="A176">
        <v>1</v>
      </c>
      <c r="H176">
        <v>1</v>
      </c>
    </row>
    <row r="177" spans="1:8" x14ac:dyDescent="0.45">
      <c r="A177">
        <v>1</v>
      </c>
      <c r="H177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7D42-76EC-40EE-A7C6-64038690A3C8}">
  <dimension ref="A1:M177"/>
  <sheetViews>
    <sheetView workbookViewId="0">
      <pane ySplit="3" topLeftCell="A4" activePane="bottomLeft" state="frozen"/>
      <selection pane="bottomLeft" activeCell="K15" sqref="K15"/>
    </sheetView>
  </sheetViews>
  <sheetFormatPr defaultRowHeight="14.25" x14ac:dyDescent="0.45"/>
  <sheetData>
    <row r="1" spans="1:13" x14ac:dyDescent="0.45">
      <c r="A1" t="s">
        <v>2</v>
      </c>
      <c r="B1" t="s">
        <v>0</v>
      </c>
      <c r="C1" t="s">
        <v>3</v>
      </c>
      <c r="D1" t="s">
        <v>4</v>
      </c>
      <c r="E1" t="s">
        <v>6</v>
      </c>
      <c r="F1" t="s">
        <v>8</v>
      </c>
      <c r="G1" t="s">
        <v>170</v>
      </c>
      <c r="H1" t="s">
        <v>15</v>
      </c>
      <c r="I1" t="s">
        <v>16</v>
      </c>
      <c r="J1" t="s">
        <v>17</v>
      </c>
      <c r="K1" t="s">
        <v>19</v>
      </c>
      <c r="L1" t="s">
        <v>150</v>
      </c>
      <c r="M1" t="s">
        <v>151</v>
      </c>
    </row>
    <row r="2" spans="1:13" x14ac:dyDescent="0.45">
      <c r="A2">
        <v>0.9</v>
      </c>
      <c r="B2" t="s">
        <v>472</v>
      </c>
      <c r="C2">
        <v>1601</v>
      </c>
      <c r="D2">
        <v>1</v>
      </c>
      <c r="E2" t="s">
        <v>7</v>
      </c>
      <c r="F2" t="s">
        <v>10</v>
      </c>
      <c r="H2">
        <v>1</v>
      </c>
      <c r="I2" t="s">
        <v>5</v>
      </c>
      <c r="J2">
        <f>COUNTIFS(E:E,"*F*",H:H,1)</f>
        <v>80</v>
      </c>
      <c r="K2">
        <f>J2+J3</f>
        <v>104</v>
      </c>
      <c r="L2">
        <f>J2/K2</f>
        <v>0.76923076923076927</v>
      </c>
      <c r="M2">
        <f>SQRT(L2*L3/K2)</f>
        <v>4.1314319656121132E-2</v>
      </c>
    </row>
    <row r="3" spans="1:13" x14ac:dyDescent="0.45">
      <c r="A3">
        <v>0.9</v>
      </c>
      <c r="B3" t="s">
        <v>472</v>
      </c>
      <c r="C3">
        <v>1601</v>
      </c>
      <c r="D3">
        <v>2</v>
      </c>
      <c r="E3" t="s">
        <v>18</v>
      </c>
      <c r="F3" t="s">
        <v>473</v>
      </c>
      <c r="H3">
        <v>1</v>
      </c>
      <c r="I3" t="s">
        <v>18</v>
      </c>
      <c r="J3">
        <f>COUNTIFS(E:E,"*B*",H:H,1)</f>
        <v>24</v>
      </c>
      <c r="L3">
        <f>J3/K2</f>
        <v>0.23076923076923078</v>
      </c>
    </row>
    <row r="4" spans="1:13" x14ac:dyDescent="0.45">
      <c r="A4">
        <v>0.9</v>
      </c>
      <c r="B4" t="s">
        <v>472</v>
      </c>
      <c r="C4">
        <v>1601</v>
      </c>
      <c r="D4">
        <v>3</v>
      </c>
      <c r="E4" t="s">
        <v>7</v>
      </c>
      <c r="F4" t="s">
        <v>9</v>
      </c>
      <c r="H4">
        <v>1</v>
      </c>
      <c r="I4" t="s">
        <v>7</v>
      </c>
      <c r="J4">
        <f>COUNTIFS(E:E,"*U*",H:H,1)</f>
        <v>57</v>
      </c>
    </row>
    <row r="5" spans="1:13" x14ac:dyDescent="0.45">
      <c r="A5">
        <v>0.9</v>
      </c>
      <c r="B5" t="s">
        <v>472</v>
      </c>
      <c r="C5">
        <v>1601</v>
      </c>
      <c r="D5">
        <v>4</v>
      </c>
      <c r="E5" t="s">
        <v>5</v>
      </c>
      <c r="F5" t="s">
        <v>474</v>
      </c>
      <c r="H5">
        <v>1</v>
      </c>
    </row>
    <row r="6" spans="1:13" x14ac:dyDescent="0.45">
      <c r="A6">
        <v>0.9</v>
      </c>
      <c r="B6" t="s">
        <v>472</v>
      </c>
      <c r="C6">
        <v>1601</v>
      </c>
      <c r="D6">
        <v>5</v>
      </c>
      <c r="E6" t="s">
        <v>5</v>
      </c>
      <c r="F6" t="s">
        <v>103</v>
      </c>
      <c r="H6">
        <v>1</v>
      </c>
    </row>
    <row r="7" spans="1:13" x14ac:dyDescent="0.45">
      <c r="A7">
        <v>0.9</v>
      </c>
      <c r="B7" t="s">
        <v>472</v>
      </c>
      <c r="C7">
        <v>1601</v>
      </c>
      <c r="D7">
        <v>6</v>
      </c>
      <c r="E7" t="s">
        <v>5</v>
      </c>
      <c r="F7" t="s">
        <v>139</v>
      </c>
      <c r="H7">
        <v>1</v>
      </c>
    </row>
    <row r="8" spans="1:13" x14ac:dyDescent="0.45">
      <c r="A8">
        <v>0.9</v>
      </c>
      <c r="B8" t="s">
        <v>472</v>
      </c>
      <c r="C8">
        <v>1601</v>
      </c>
      <c r="D8">
        <v>7</v>
      </c>
      <c r="E8" t="s">
        <v>5</v>
      </c>
      <c r="F8" t="s">
        <v>198</v>
      </c>
      <c r="H8">
        <v>1</v>
      </c>
    </row>
    <row r="9" spans="1:13" x14ac:dyDescent="0.45">
      <c r="A9">
        <v>0.9</v>
      </c>
      <c r="B9" t="s">
        <v>472</v>
      </c>
      <c r="C9">
        <v>1601</v>
      </c>
      <c r="D9">
        <v>8</v>
      </c>
      <c r="E9" t="s">
        <v>7</v>
      </c>
      <c r="F9" t="s">
        <v>10</v>
      </c>
      <c r="H9">
        <v>1</v>
      </c>
    </row>
    <row r="10" spans="1:13" x14ac:dyDescent="0.45">
      <c r="A10">
        <v>0.9</v>
      </c>
      <c r="B10" t="s">
        <v>472</v>
      </c>
      <c r="C10">
        <v>1601</v>
      </c>
      <c r="D10">
        <v>9</v>
      </c>
      <c r="E10" t="s">
        <v>7</v>
      </c>
      <c r="F10" t="s">
        <v>11</v>
      </c>
      <c r="H10">
        <v>1</v>
      </c>
    </row>
    <row r="11" spans="1:13" x14ac:dyDescent="0.45">
      <c r="A11">
        <v>0.9</v>
      </c>
      <c r="B11" t="s">
        <v>472</v>
      </c>
      <c r="C11">
        <v>1601</v>
      </c>
      <c r="D11">
        <v>10</v>
      </c>
      <c r="E11" t="s">
        <v>7</v>
      </c>
      <c r="F11" t="s">
        <v>9</v>
      </c>
      <c r="H11">
        <v>1</v>
      </c>
    </row>
    <row r="12" spans="1:13" x14ac:dyDescent="0.45">
      <c r="A12">
        <v>0.9</v>
      </c>
      <c r="B12" t="s">
        <v>472</v>
      </c>
      <c r="C12">
        <v>1601</v>
      </c>
      <c r="D12">
        <v>11</v>
      </c>
      <c r="E12" t="s">
        <v>5</v>
      </c>
      <c r="F12" t="s">
        <v>426</v>
      </c>
      <c r="H12">
        <v>1</v>
      </c>
    </row>
    <row r="13" spans="1:13" x14ac:dyDescent="0.45">
      <c r="A13">
        <v>0.9</v>
      </c>
      <c r="B13" t="s">
        <v>472</v>
      </c>
      <c r="C13">
        <v>1601</v>
      </c>
      <c r="D13">
        <v>12</v>
      </c>
      <c r="E13" t="s">
        <v>5</v>
      </c>
      <c r="F13" t="s">
        <v>475</v>
      </c>
      <c r="H13">
        <v>1</v>
      </c>
    </row>
    <row r="14" spans="1:13" x14ac:dyDescent="0.45">
      <c r="A14">
        <v>0.9</v>
      </c>
      <c r="B14" t="s">
        <v>472</v>
      </c>
      <c r="C14">
        <v>1601</v>
      </c>
      <c r="D14">
        <v>13</v>
      </c>
      <c r="E14" t="s">
        <v>7</v>
      </c>
      <c r="F14" t="s">
        <v>10</v>
      </c>
      <c r="H14">
        <v>1</v>
      </c>
    </row>
    <row r="15" spans="1:13" x14ac:dyDescent="0.45">
      <c r="A15">
        <v>0.9</v>
      </c>
      <c r="B15" t="s">
        <v>472</v>
      </c>
      <c r="C15">
        <v>1601</v>
      </c>
      <c r="D15">
        <v>14</v>
      </c>
      <c r="E15" t="s">
        <v>5</v>
      </c>
      <c r="F15" t="s">
        <v>144</v>
      </c>
      <c r="H15">
        <v>1</v>
      </c>
    </row>
    <row r="16" spans="1:13" x14ac:dyDescent="0.45">
      <c r="A16">
        <v>0.9</v>
      </c>
      <c r="B16" t="s">
        <v>472</v>
      </c>
      <c r="C16">
        <v>1601</v>
      </c>
      <c r="D16">
        <v>15</v>
      </c>
      <c r="E16" t="s">
        <v>7</v>
      </c>
      <c r="F16" t="s">
        <v>9</v>
      </c>
      <c r="H16">
        <v>1</v>
      </c>
    </row>
    <row r="17" spans="1:8" x14ac:dyDescent="0.45">
      <c r="A17">
        <v>0.9</v>
      </c>
      <c r="B17" t="s">
        <v>472</v>
      </c>
      <c r="C17">
        <v>1601</v>
      </c>
      <c r="D17">
        <v>16</v>
      </c>
      <c r="E17" t="s">
        <v>7</v>
      </c>
      <c r="F17" t="s">
        <v>9</v>
      </c>
      <c r="H17">
        <v>1</v>
      </c>
    </row>
    <row r="18" spans="1:8" x14ac:dyDescent="0.45">
      <c r="A18">
        <v>0.9</v>
      </c>
      <c r="B18" t="s">
        <v>472</v>
      </c>
      <c r="C18">
        <v>1601</v>
      </c>
      <c r="D18">
        <v>17</v>
      </c>
      <c r="E18" t="s">
        <v>5</v>
      </c>
      <c r="F18" t="s">
        <v>370</v>
      </c>
      <c r="H18">
        <v>1</v>
      </c>
    </row>
    <row r="19" spans="1:8" x14ac:dyDescent="0.45">
      <c r="A19">
        <v>0.9</v>
      </c>
      <c r="B19" t="s">
        <v>472</v>
      </c>
      <c r="C19">
        <v>1601</v>
      </c>
      <c r="D19">
        <v>18</v>
      </c>
      <c r="E19" t="s">
        <v>5</v>
      </c>
      <c r="F19" t="s">
        <v>264</v>
      </c>
      <c r="H19">
        <v>1</v>
      </c>
    </row>
    <row r="20" spans="1:8" x14ac:dyDescent="0.45">
      <c r="A20">
        <v>0.9</v>
      </c>
      <c r="B20" t="s">
        <v>472</v>
      </c>
      <c r="C20">
        <v>1601</v>
      </c>
      <c r="D20">
        <v>19</v>
      </c>
      <c r="E20" t="s">
        <v>18</v>
      </c>
      <c r="F20" t="s">
        <v>264</v>
      </c>
      <c r="H20">
        <v>1</v>
      </c>
    </row>
    <row r="21" spans="1:8" x14ac:dyDescent="0.45">
      <c r="A21">
        <v>0.9</v>
      </c>
      <c r="B21" t="s">
        <v>472</v>
      </c>
      <c r="C21">
        <v>1601</v>
      </c>
      <c r="D21">
        <v>20</v>
      </c>
      <c r="E21" t="s">
        <v>7</v>
      </c>
      <c r="F21" t="s">
        <v>10</v>
      </c>
      <c r="H21">
        <v>1</v>
      </c>
    </row>
    <row r="22" spans="1:8" x14ac:dyDescent="0.45">
      <c r="A22">
        <v>0.9</v>
      </c>
      <c r="B22" t="s">
        <v>472</v>
      </c>
      <c r="C22">
        <v>1601</v>
      </c>
      <c r="D22">
        <v>21</v>
      </c>
      <c r="E22" t="s">
        <v>7</v>
      </c>
      <c r="F22" t="s">
        <v>9</v>
      </c>
      <c r="H22">
        <v>1</v>
      </c>
    </row>
    <row r="23" spans="1:8" x14ac:dyDescent="0.45">
      <c r="A23">
        <v>0.9</v>
      </c>
      <c r="B23" t="s">
        <v>472</v>
      </c>
      <c r="C23">
        <v>1601</v>
      </c>
      <c r="D23">
        <v>22</v>
      </c>
      <c r="E23" t="s">
        <v>5</v>
      </c>
      <c r="F23" t="s">
        <v>345</v>
      </c>
      <c r="H23">
        <v>1</v>
      </c>
    </row>
    <row r="24" spans="1:8" x14ac:dyDescent="0.45">
      <c r="A24">
        <v>0.9</v>
      </c>
      <c r="B24" t="s">
        <v>472</v>
      </c>
      <c r="C24">
        <v>1601</v>
      </c>
      <c r="D24">
        <v>23</v>
      </c>
      <c r="E24" t="s">
        <v>5</v>
      </c>
      <c r="F24" t="s">
        <v>476</v>
      </c>
      <c r="H24">
        <v>1</v>
      </c>
    </row>
    <row r="25" spans="1:8" x14ac:dyDescent="0.45">
      <c r="A25">
        <v>0.9</v>
      </c>
      <c r="B25" t="s">
        <v>472</v>
      </c>
      <c r="C25">
        <v>1601</v>
      </c>
      <c r="D25">
        <v>24</v>
      </c>
      <c r="E25" t="s">
        <v>18</v>
      </c>
      <c r="F25" t="s">
        <v>369</v>
      </c>
      <c r="G25" t="s">
        <v>171</v>
      </c>
      <c r="H25">
        <v>1</v>
      </c>
    </row>
    <row r="26" spans="1:8" x14ac:dyDescent="0.45">
      <c r="A26">
        <v>0.9</v>
      </c>
      <c r="B26" t="s">
        <v>472</v>
      </c>
      <c r="C26">
        <v>1601</v>
      </c>
      <c r="D26">
        <v>25</v>
      </c>
      <c r="E26" t="s">
        <v>5</v>
      </c>
      <c r="F26" t="s">
        <v>477</v>
      </c>
      <c r="H26">
        <v>1</v>
      </c>
    </row>
    <row r="27" spans="1:8" x14ac:dyDescent="0.45">
      <c r="A27">
        <v>0.9</v>
      </c>
      <c r="B27" t="s">
        <v>472</v>
      </c>
      <c r="C27">
        <v>1601</v>
      </c>
      <c r="D27">
        <v>26</v>
      </c>
      <c r="E27" t="s">
        <v>5</v>
      </c>
      <c r="F27" t="s">
        <v>309</v>
      </c>
      <c r="H27">
        <v>1</v>
      </c>
    </row>
    <row r="28" spans="1:8" x14ac:dyDescent="0.45">
      <c r="A28">
        <v>0.9</v>
      </c>
      <c r="B28" t="s">
        <v>472</v>
      </c>
      <c r="C28">
        <v>1601</v>
      </c>
      <c r="D28">
        <v>27</v>
      </c>
      <c r="E28" t="s">
        <v>7</v>
      </c>
      <c r="F28" t="s">
        <v>9</v>
      </c>
      <c r="H28">
        <v>1</v>
      </c>
    </row>
    <row r="29" spans="1:8" x14ac:dyDescent="0.45">
      <c r="A29">
        <v>0.9</v>
      </c>
      <c r="B29" t="s">
        <v>472</v>
      </c>
      <c r="C29">
        <v>1601</v>
      </c>
      <c r="D29">
        <v>28</v>
      </c>
      <c r="E29" t="s">
        <v>5</v>
      </c>
      <c r="F29" t="s">
        <v>478</v>
      </c>
      <c r="H29">
        <v>1</v>
      </c>
    </row>
    <row r="30" spans="1:8" x14ac:dyDescent="0.45">
      <c r="A30">
        <v>0.9</v>
      </c>
      <c r="B30" t="s">
        <v>472</v>
      </c>
      <c r="C30">
        <v>1601</v>
      </c>
      <c r="D30">
        <v>29</v>
      </c>
      <c r="E30" t="s">
        <v>7</v>
      </c>
      <c r="F30" t="s">
        <v>9</v>
      </c>
      <c r="H30">
        <v>1</v>
      </c>
    </row>
    <row r="31" spans="1:8" x14ac:dyDescent="0.45">
      <c r="A31">
        <v>0.9</v>
      </c>
      <c r="B31" t="s">
        <v>472</v>
      </c>
      <c r="C31">
        <v>1601</v>
      </c>
      <c r="D31">
        <v>30</v>
      </c>
      <c r="E31" t="s">
        <v>18</v>
      </c>
      <c r="F31" t="s">
        <v>61</v>
      </c>
      <c r="H31">
        <v>1</v>
      </c>
    </row>
    <row r="32" spans="1:8" x14ac:dyDescent="0.45">
      <c r="A32">
        <v>0.9</v>
      </c>
      <c r="B32" t="s">
        <v>472</v>
      </c>
      <c r="C32">
        <v>1601</v>
      </c>
      <c r="D32">
        <v>31</v>
      </c>
      <c r="E32" t="s">
        <v>7</v>
      </c>
      <c r="F32" t="s">
        <v>9</v>
      </c>
      <c r="H32">
        <v>1</v>
      </c>
    </row>
    <row r="33" spans="1:8" x14ac:dyDescent="0.45">
      <c r="A33">
        <v>0.9</v>
      </c>
      <c r="B33" t="s">
        <v>472</v>
      </c>
      <c r="C33">
        <v>1601</v>
      </c>
      <c r="D33">
        <v>32</v>
      </c>
      <c r="E33" t="s">
        <v>5</v>
      </c>
      <c r="F33" t="s">
        <v>199</v>
      </c>
      <c r="H33">
        <v>1</v>
      </c>
    </row>
    <row r="34" spans="1:8" x14ac:dyDescent="0.45">
      <c r="A34">
        <v>0.9</v>
      </c>
      <c r="B34" t="s">
        <v>472</v>
      </c>
      <c r="C34">
        <v>1601</v>
      </c>
      <c r="D34">
        <v>33</v>
      </c>
      <c r="E34" t="s">
        <v>5</v>
      </c>
      <c r="F34" t="s">
        <v>62</v>
      </c>
      <c r="H34">
        <v>1</v>
      </c>
    </row>
    <row r="35" spans="1:8" x14ac:dyDescent="0.45">
      <c r="A35">
        <v>0.9</v>
      </c>
      <c r="B35" t="s">
        <v>472</v>
      </c>
      <c r="C35">
        <v>1601</v>
      </c>
      <c r="D35">
        <v>34</v>
      </c>
      <c r="E35" t="s">
        <v>7</v>
      </c>
      <c r="F35" t="s">
        <v>10</v>
      </c>
      <c r="H35">
        <v>1</v>
      </c>
    </row>
    <row r="36" spans="1:8" x14ac:dyDescent="0.45">
      <c r="A36">
        <v>0.9</v>
      </c>
      <c r="B36" t="s">
        <v>472</v>
      </c>
      <c r="C36">
        <v>1601</v>
      </c>
      <c r="D36">
        <v>35</v>
      </c>
      <c r="E36" t="s">
        <v>5</v>
      </c>
      <c r="F36" t="s">
        <v>480</v>
      </c>
      <c r="H36">
        <v>1</v>
      </c>
    </row>
    <row r="37" spans="1:8" x14ac:dyDescent="0.45">
      <c r="A37">
        <v>0.9</v>
      </c>
      <c r="B37" t="s">
        <v>472</v>
      </c>
      <c r="C37">
        <v>1601</v>
      </c>
      <c r="D37">
        <v>36</v>
      </c>
      <c r="E37" t="s">
        <v>7</v>
      </c>
      <c r="F37" t="s">
        <v>9</v>
      </c>
      <c r="H37">
        <v>1</v>
      </c>
    </row>
    <row r="38" spans="1:8" x14ac:dyDescent="0.45">
      <c r="A38">
        <v>0.9</v>
      </c>
      <c r="B38" t="s">
        <v>472</v>
      </c>
      <c r="C38">
        <v>1601</v>
      </c>
      <c r="D38">
        <v>37</v>
      </c>
      <c r="E38" t="s">
        <v>5</v>
      </c>
      <c r="F38" t="s">
        <v>102</v>
      </c>
      <c r="H38">
        <v>1</v>
      </c>
    </row>
    <row r="39" spans="1:8" x14ac:dyDescent="0.45">
      <c r="A39">
        <v>0.9</v>
      </c>
      <c r="B39" t="s">
        <v>472</v>
      </c>
      <c r="C39">
        <v>1601</v>
      </c>
      <c r="D39">
        <v>38</v>
      </c>
      <c r="E39" t="s">
        <v>5</v>
      </c>
      <c r="F39" t="s">
        <v>479</v>
      </c>
      <c r="H39">
        <v>1</v>
      </c>
    </row>
    <row r="40" spans="1:8" x14ac:dyDescent="0.45">
      <c r="A40">
        <v>0.9</v>
      </c>
      <c r="B40" t="s">
        <v>472</v>
      </c>
      <c r="C40">
        <v>1201</v>
      </c>
      <c r="D40">
        <v>1</v>
      </c>
      <c r="E40" t="s">
        <v>5</v>
      </c>
      <c r="F40" t="s">
        <v>416</v>
      </c>
      <c r="H40">
        <v>1</v>
      </c>
    </row>
    <row r="41" spans="1:8" x14ac:dyDescent="0.45">
      <c r="A41">
        <v>0.9</v>
      </c>
      <c r="B41" t="s">
        <v>472</v>
      </c>
      <c r="C41">
        <v>1201</v>
      </c>
      <c r="D41">
        <v>2</v>
      </c>
      <c r="E41" t="s">
        <v>18</v>
      </c>
      <c r="F41" t="s">
        <v>330</v>
      </c>
      <c r="H41">
        <v>1</v>
      </c>
    </row>
    <row r="42" spans="1:8" x14ac:dyDescent="0.45">
      <c r="A42">
        <v>0.9</v>
      </c>
      <c r="B42" t="s">
        <v>472</v>
      </c>
      <c r="C42">
        <v>1201</v>
      </c>
      <c r="D42">
        <v>3</v>
      </c>
      <c r="E42" t="s">
        <v>18</v>
      </c>
      <c r="F42" t="s">
        <v>180</v>
      </c>
      <c r="H42">
        <v>1</v>
      </c>
    </row>
    <row r="43" spans="1:8" x14ac:dyDescent="0.45">
      <c r="A43">
        <v>0.9</v>
      </c>
      <c r="B43" t="s">
        <v>472</v>
      </c>
      <c r="C43">
        <v>1201</v>
      </c>
      <c r="D43">
        <v>4</v>
      </c>
      <c r="E43" t="s">
        <v>7</v>
      </c>
      <c r="F43" t="s">
        <v>9</v>
      </c>
      <c r="H43">
        <v>1</v>
      </c>
    </row>
    <row r="44" spans="1:8" x14ac:dyDescent="0.45">
      <c r="A44">
        <v>0.9</v>
      </c>
      <c r="B44" t="s">
        <v>472</v>
      </c>
      <c r="C44">
        <v>1201</v>
      </c>
      <c r="D44">
        <v>5</v>
      </c>
      <c r="E44" t="s">
        <v>5</v>
      </c>
      <c r="F44" t="s">
        <v>482</v>
      </c>
      <c r="H44">
        <v>1</v>
      </c>
    </row>
    <row r="45" spans="1:8" x14ac:dyDescent="0.45">
      <c r="A45">
        <v>0.9</v>
      </c>
      <c r="B45" t="s">
        <v>472</v>
      </c>
      <c r="C45">
        <v>1201</v>
      </c>
      <c r="D45">
        <v>6</v>
      </c>
      <c r="E45" t="s">
        <v>5</v>
      </c>
      <c r="F45" t="s">
        <v>483</v>
      </c>
      <c r="H45">
        <v>1</v>
      </c>
    </row>
    <row r="46" spans="1:8" x14ac:dyDescent="0.45">
      <c r="A46">
        <v>0.9</v>
      </c>
      <c r="B46" t="s">
        <v>472</v>
      </c>
      <c r="C46">
        <v>1201</v>
      </c>
      <c r="D46">
        <v>7</v>
      </c>
      <c r="E46" t="s">
        <v>5</v>
      </c>
      <c r="F46" t="s">
        <v>484</v>
      </c>
      <c r="G46" t="s">
        <v>171</v>
      </c>
      <c r="H46">
        <v>1</v>
      </c>
    </row>
    <row r="47" spans="1:8" x14ac:dyDescent="0.45">
      <c r="A47">
        <v>0.9</v>
      </c>
      <c r="B47" t="s">
        <v>472</v>
      </c>
      <c r="C47">
        <v>1201</v>
      </c>
      <c r="D47">
        <v>8</v>
      </c>
      <c r="E47" t="s">
        <v>5</v>
      </c>
      <c r="F47" t="s">
        <v>485</v>
      </c>
      <c r="H47">
        <v>1</v>
      </c>
    </row>
    <row r="48" spans="1:8" x14ac:dyDescent="0.45">
      <c r="A48">
        <v>0.9</v>
      </c>
      <c r="B48" t="s">
        <v>472</v>
      </c>
      <c r="C48">
        <v>1201</v>
      </c>
      <c r="D48">
        <v>9</v>
      </c>
      <c r="E48" t="s">
        <v>5</v>
      </c>
      <c r="F48" t="s">
        <v>56</v>
      </c>
      <c r="H48">
        <v>1</v>
      </c>
    </row>
    <row r="49" spans="1:8" x14ac:dyDescent="0.45">
      <c r="A49">
        <v>0.9</v>
      </c>
      <c r="B49" t="s">
        <v>472</v>
      </c>
      <c r="C49">
        <v>1201</v>
      </c>
      <c r="D49">
        <v>10</v>
      </c>
      <c r="E49" t="s">
        <v>5</v>
      </c>
      <c r="F49" t="s">
        <v>330</v>
      </c>
      <c r="G49" t="s">
        <v>171</v>
      </c>
      <c r="H49">
        <v>1</v>
      </c>
    </row>
    <row r="50" spans="1:8" x14ac:dyDescent="0.45">
      <c r="A50">
        <v>0.9</v>
      </c>
      <c r="B50" t="s">
        <v>472</v>
      </c>
      <c r="C50">
        <v>1201</v>
      </c>
      <c r="D50">
        <v>11</v>
      </c>
      <c r="E50" t="s">
        <v>7</v>
      </c>
      <c r="F50" t="s">
        <v>10</v>
      </c>
      <c r="H50">
        <v>1</v>
      </c>
    </row>
    <row r="51" spans="1:8" x14ac:dyDescent="0.45">
      <c r="A51">
        <v>0.9</v>
      </c>
      <c r="B51" t="s">
        <v>472</v>
      </c>
      <c r="C51">
        <v>1201</v>
      </c>
      <c r="D51">
        <v>12</v>
      </c>
      <c r="E51" t="s">
        <v>7</v>
      </c>
      <c r="F51" t="s">
        <v>9</v>
      </c>
      <c r="H51">
        <v>1</v>
      </c>
    </row>
    <row r="52" spans="1:8" x14ac:dyDescent="0.45">
      <c r="A52">
        <v>0.9</v>
      </c>
      <c r="B52" t="s">
        <v>472</v>
      </c>
      <c r="C52">
        <v>1201</v>
      </c>
      <c r="D52">
        <v>13</v>
      </c>
      <c r="E52" t="s">
        <v>7</v>
      </c>
      <c r="F52" t="s">
        <v>9</v>
      </c>
      <c r="H52">
        <v>1</v>
      </c>
    </row>
    <row r="53" spans="1:8" x14ac:dyDescent="0.45">
      <c r="A53">
        <v>0.9</v>
      </c>
      <c r="B53" t="s">
        <v>472</v>
      </c>
      <c r="C53">
        <v>1201</v>
      </c>
      <c r="D53">
        <v>14</v>
      </c>
      <c r="E53" t="s">
        <v>18</v>
      </c>
      <c r="F53" t="s">
        <v>486</v>
      </c>
      <c r="H53">
        <v>1</v>
      </c>
    </row>
    <row r="54" spans="1:8" x14ac:dyDescent="0.45">
      <c r="A54">
        <v>0.9</v>
      </c>
      <c r="B54" t="s">
        <v>472</v>
      </c>
      <c r="C54">
        <v>1201</v>
      </c>
      <c r="D54">
        <v>15</v>
      </c>
      <c r="E54" t="s">
        <v>7</v>
      </c>
      <c r="F54" t="s">
        <v>11</v>
      </c>
      <c r="H54">
        <v>1</v>
      </c>
    </row>
    <row r="55" spans="1:8" x14ac:dyDescent="0.45">
      <c r="A55">
        <v>0.9</v>
      </c>
      <c r="B55" t="s">
        <v>472</v>
      </c>
      <c r="C55">
        <v>1201</v>
      </c>
      <c r="D55">
        <v>16</v>
      </c>
      <c r="E55" t="s">
        <v>5</v>
      </c>
      <c r="F55" t="s">
        <v>487</v>
      </c>
      <c r="H55">
        <v>1</v>
      </c>
    </row>
    <row r="56" spans="1:8" x14ac:dyDescent="0.45">
      <c r="A56">
        <v>0.9</v>
      </c>
      <c r="B56" t="s">
        <v>472</v>
      </c>
      <c r="C56">
        <v>1201</v>
      </c>
      <c r="D56">
        <v>17</v>
      </c>
      <c r="E56" t="s">
        <v>5</v>
      </c>
      <c r="F56" t="s">
        <v>178</v>
      </c>
      <c r="G56" t="s">
        <v>171</v>
      </c>
      <c r="H56">
        <v>1</v>
      </c>
    </row>
    <row r="57" spans="1:8" x14ac:dyDescent="0.45">
      <c r="A57">
        <v>0.9</v>
      </c>
      <c r="B57" t="s">
        <v>472</v>
      </c>
      <c r="C57">
        <v>1201</v>
      </c>
      <c r="D57">
        <v>18</v>
      </c>
      <c r="E57" t="s">
        <v>18</v>
      </c>
      <c r="F57" t="s">
        <v>488</v>
      </c>
      <c r="H57">
        <v>1</v>
      </c>
    </row>
    <row r="58" spans="1:8" x14ac:dyDescent="0.45">
      <c r="A58">
        <v>0.9</v>
      </c>
      <c r="B58" t="s">
        <v>472</v>
      </c>
      <c r="C58">
        <v>1201</v>
      </c>
      <c r="D58">
        <v>19</v>
      </c>
      <c r="E58" t="s">
        <v>5</v>
      </c>
      <c r="F58" t="s">
        <v>489</v>
      </c>
      <c r="H58">
        <v>1</v>
      </c>
    </row>
    <row r="59" spans="1:8" x14ac:dyDescent="0.45">
      <c r="A59">
        <v>0.9</v>
      </c>
      <c r="B59" t="s">
        <v>472</v>
      </c>
      <c r="C59">
        <v>1201</v>
      </c>
      <c r="D59">
        <v>20</v>
      </c>
      <c r="E59" t="s">
        <v>18</v>
      </c>
      <c r="F59" t="s">
        <v>490</v>
      </c>
      <c r="H59">
        <v>1</v>
      </c>
    </row>
    <row r="60" spans="1:8" x14ac:dyDescent="0.45">
      <c r="A60">
        <v>0.9</v>
      </c>
      <c r="B60" t="s">
        <v>472</v>
      </c>
      <c r="C60">
        <v>1201</v>
      </c>
      <c r="D60">
        <v>21</v>
      </c>
      <c r="E60" t="s">
        <v>5</v>
      </c>
      <c r="F60" t="s">
        <v>50</v>
      </c>
      <c r="H60">
        <v>1</v>
      </c>
    </row>
    <row r="61" spans="1:8" x14ac:dyDescent="0.45">
      <c r="A61">
        <v>0.9</v>
      </c>
      <c r="B61" t="s">
        <v>472</v>
      </c>
      <c r="C61">
        <v>1201</v>
      </c>
      <c r="D61">
        <v>22</v>
      </c>
      <c r="E61" t="s">
        <v>5</v>
      </c>
      <c r="F61" t="s">
        <v>491</v>
      </c>
      <c r="H61">
        <v>1</v>
      </c>
    </row>
    <row r="62" spans="1:8" x14ac:dyDescent="0.45">
      <c r="A62">
        <v>0.9</v>
      </c>
      <c r="B62" t="s">
        <v>472</v>
      </c>
      <c r="C62">
        <v>1201</v>
      </c>
      <c r="D62">
        <v>23</v>
      </c>
      <c r="E62" t="s">
        <v>5</v>
      </c>
      <c r="F62" t="s">
        <v>492</v>
      </c>
      <c r="H62">
        <v>1</v>
      </c>
    </row>
    <row r="63" spans="1:8" x14ac:dyDescent="0.45">
      <c r="A63">
        <v>0.9</v>
      </c>
      <c r="B63" t="s">
        <v>472</v>
      </c>
      <c r="C63">
        <v>1201</v>
      </c>
      <c r="D63">
        <v>24</v>
      </c>
      <c r="E63" t="s">
        <v>18</v>
      </c>
      <c r="F63" t="s">
        <v>48</v>
      </c>
      <c r="H63">
        <v>1</v>
      </c>
    </row>
    <row r="64" spans="1:8" x14ac:dyDescent="0.45">
      <c r="A64">
        <v>0.9</v>
      </c>
      <c r="B64" t="s">
        <v>472</v>
      </c>
      <c r="C64">
        <v>1201</v>
      </c>
      <c r="D64">
        <v>25</v>
      </c>
      <c r="E64" t="s">
        <v>5</v>
      </c>
      <c r="F64" t="s">
        <v>493</v>
      </c>
      <c r="H64">
        <v>1</v>
      </c>
    </row>
    <row r="65" spans="1:8" x14ac:dyDescent="0.45">
      <c r="A65">
        <v>0.9</v>
      </c>
      <c r="B65" t="s">
        <v>472</v>
      </c>
      <c r="C65">
        <v>1201</v>
      </c>
      <c r="D65">
        <v>26</v>
      </c>
      <c r="E65" t="s">
        <v>5</v>
      </c>
      <c r="F65" t="s">
        <v>228</v>
      </c>
      <c r="H65">
        <v>1</v>
      </c>
    </row>
    <row r="66" spans="1:8" x14ac:dyDescent="0.45">
      <c r="A66">
        <v>0.9</v>
      </c>
      <c r="B66" t="s">
        <v>472</v>
      </c>
      <c r="C66">
        <v>1201</v>
      </c>
      <c r="D66">
        <v>27</v>
      </c>
      <c r="E66" t="s">
        <v>18</v>
      </c>
      <c r="F66" t="s">
        <v>187</v>
      </c>
      <c r="G66" t="s">
        <v>171</v>
      </c>
      <c r="H66">
        <v>1</v>
      </c>
    </row>
    <row r="67" spans="1:8" x14ac:dyDescent="0.45">
      <c r="A67">
        <v>0.9</v>
      </c>
      <c r="B67" t="s">
        <v>472</v>
      </c>
      <c r="C67">
        <v>1201</v>
      </c>
      <c r="D67">
        <v>28</v>
      </c>
      <c r="E67" t="s">
        <v>5</v>
      </c>
      <c r="F67" t="s">
        <v>52</v>
      </c>
      <c r="H67">
        <v>1</v>
      </c>
    </row>
    <row r="68" spans="1:8" x14ac:dyDescent="0.45">
      <c r="A68">
        <v>0.9</v>
      </c>
      <c r="B68" t="s">
        <v>472</v>
      </c>
      <c r="C68">
        <v>1201</v>
      </c>
      <c r="D68">
        <v>29</v>
      </c>
      <c r="E68" t="s">
        <v>7</v>
      </c>
      <c r="F68" t="s">
        <v>9</v>
      </c>
      <c r="H68">
        <v>1</v>
      </c>
    </row>
    <row r="69" spans="1:8" x14ac:dyDescent="0.45">
      <c r="A69">
        <v>0.9</v>
      </c>
      <c r="B69" t="s">
        <v>472</v>
      </c>
      <c r="C69">
        <v>1201</v>
      </c>
      <c r="D69">
        <v>30</v>
      </c>
      <c r="E69" t="s">
        <v>7</v>
      </c>
      <c r="F69" t="s">
        <v>9</v>
      </c>
      <c r="H69">
        <v>1</v>
      </c>
    </row>
    <row r="70" spans="1:8" x14ac:dyDescent="0.45">
      <c r="A70">
        <v>0.9</v>
      </c>
      <c r="B70" t="s">
        <v>472</v>
      </c>
      <c r="C70">
        <v>1201</v>
      </c>
      <c r="D70">
        <v>31</v>
      </c>
      <c r="E70" t="s">
        <v>7</v>
      </c>
      <c r="F70" t="s">
        <v>9</v>
      </c>
      <c r="H70">
        <v>1</v>
      </c>
    </row>
    <row r="71" spans="1:8" x14ac:dyDescent="0.45">
      <c r="A71">
        <v>0.9</v>
      </c>
      <c r="B71" t="s">
        <v>472</v>
      </c>
      <c r="C71">
        <v>1201</v>
      </c>
      <c r="D71">
        <v>32</v>
      </c>
      <c r="E71" t="s">
        <v>5</v>
      </c>
      <c r="F71" t="s">
        <v>494</v>
      </c>
      <c r="H71">
        <v>1</v>
      </c>
    </row>
    <row r="72" spans="1:8" x14ac:dyDescent="0.45">
      <c r="A72">
        <v>0.9</v>
      </c>
      <c r="B72" t="s">
        <v>472</v>
      </c>
      <c r="C72">
        <v>1201</v>
      </c>
      <c r="D72">
        <v>33</v>
      </c>
      <c r="E72" t="s">
        <v>5</v>
      </c>
      <c r="F72" t="s">
        <v>330</v>
      </c>
      <c r="H72">
        <v>1</v>
      </c>
    </row>
    <row r="73" spans="1:8" x14ac:dyDescent="0.45">
      <c r="A73">
        <v>0.9</v>
      </c>
      <c r="B73" t="s">
        <v>472</v>
      </c>
      <c r="C73">
        <v>1201</v>
      </c>
      <c r="D73">
        <v>34</v>
      </c>
      <c r="E73" t="s">
        <v>5</v>
      </c>
      <c r="F73" t="s">
        <v>338</v>
      </c>
      <c r="H73">
        <v>1</v>
      </c>
    </row>
    <row r="74" spans="1:8" x14ac:dyDescent="0.45">
      <c r="A74">
        <v>0.9</v>
      </c>
      <c r="B74" t="s">
        <v>472</v>
      </c>
      <c r="C74">
        <v>1201</v>
      </c>
      <c r="D74">
        <v>35</v>
      </c>
      <c r="E74" t="s">
        <v>18</v>
      </c>
      <c r="F74" t="s">
        <v>180</v>
      </c>
      <c r="H74">
        <v>1</v>
      </c>
    </row>
    <row r="75" spans="1:8" x14ac:dyDescent="0.45">
      <c r="A75">
        <v>0.9</v>
      </c>
      <c r="B75" t="s">
        <v>472</v>
      </c>
      <c r="C75">
        <v>801</v>
      </c>
      <c r="D75">
        <v>1</v>
      </c>
      <c r="E75" t="s">
        <v>7</v>
      </c>
      <c r="F75" t="s">
        <v>10</v>
      </c>
      <c r="H75">
        <v>1</v>
      </c>
    </row>
    <row r="76" spans="1:8" x14ac:dyDescent="0.45">
      <c r="A76">
        <v>0.9</v>
      </c>
      <c r="B76" t="s">
        <v>472</v>
      </c>
      <c r="C76">
        <v>801</v>
      </c>
      <c r="D76">
        <v>2</v>
      </c>
      <c r="E76" t="s">
        <v>5</v>
      </c>
      <c r="F76" t="s">
        <v>403</v>
      </c>
      <c r="H76">
        <v>1</v>
      </c>
    </row>
    <row r="77" spans="1:8" x14ac:dyDescent="0.45">
      <c r="A77">
        <v>0.9</v>
      </c>
      <c r="B77" t="s">
        <v>472</v>
      </c>
      <c r="C77">
        <v>801</v>
      </c>
      <c r="D77">
        <v>3</v>
      </c>
      <c r="E77" t="s">
        <v>5</v>
      </c>
      <c r="F77" t="s">
        <v>407</v>
      </c>
      <c r="H77">
        <v>1</v>
      </c>
    </row>
    <row r="78" spans="1:8" x14ac:dyDescent="0.45">
      <c r="A78">
        <v>0.9</v>
      </c>
      <c r="B78" t="s">
        <v>472</v>
      </c>
      <c r="C78">
        <v>801</v>
      </c>
      <c r="D78">
        <v>4</v>
      </c>
      <c r="E78" t="s">
        <v>5</v>
      </c>
      <c r="F78" t="s">
        <v>221</v>
      </c>
      <c r="H78">
        <v>1</v>
      </c>
    </row>
    <row r="79" spans="1:8" x14ac:dyDescent="0.45">
      <c r="A79">
        <v>0.9</v>
      </c>
      <c r="B79" t="s">
        <v>472</v>
      </c>
      <c r="C79">
        <v>801</v>
      </c>
      <c r="D79">
        <v>5</v>
      </c>
      <c r="E79" t="s">
        <v>7</v>
      </c>
      <c r="F79" t="s">
        <v>10</v>
      </c>
      <c r="H79">
        <v>1</v>
      </c>
    </row>
    <row r="80" spans="1:8" x14ac:dyDescent="0.45">
      <c r="A80">
        <v>0.9</v>
      </c>
      <c r="B80" t="s">
        <v>472</v>
      </c>
      <c r="C80">
        <v>801</v>
      </c>
      <c r="D80">
        <v>6</v>
      </c>
      <c r="E80" t="s">
        <v>7</v>
      </c>
      <c r="F80" t="s">
        <v>9</v>
      </c>
      <c r="H80">
        <v>1</v>
      </c>
    </row>
    <row r="81" spans="1:8" x14ac:dyDescent="0.45">
      <c r="A81">
        <v>0.9</v>
      </c>
      <c r="B81" t="s">
        <v>472</v>
      </c>
      <c r="C81">
        <v>801</v>
      </c>
      <c r="D81">
        <v>7</v>
      </c>
      <c r="E81" t="s">
        <v>5</v>
      </c>
      <c r="F81" t="s">
        <v>495</v>
      </c>
      <c r="H81">
        <v>1</v>
      </c>
    </row>
    <row r="82" spans="1:8" x14ac:dyDescent="0.45">
      <c r="A82">
        <v>0.9</v>
      </c>
      <c r="B82" t="s">
        <v>472</v>
      </c>
      <c r="C82">
        <v>801</v>
      </c>
      <c r="D82">
        <v>8</v>
      </c>
      <c r="E82" t="s">
        <v>7</v>
      </c>
      <c r="F82" t="s">
        <v>10</v>
      </c>
      <c r="H82">
        <v>1</v>
      </c>
    </row>
    <row r="83" spans="1:8" x14ac:dyDescent="0.45">
      <c r="A83">
        <v>0.9</v>
      </c>
      <c r="B83" t="s">
        <v>472</v>
      </c>
      <c r="C83">
        <v>801</v>
      </c>
      <c r="D83">
        <v>9</v>
      </c>
      <c r="E83" t="s">
        <v>7</v>
      </c>
      <c r="F83" t="s">
        <v>10</v>
      </c>
      <c r="H83">
        <v>1</v>
      </c>
    </row>
    <row r="84" spans="1:8" x14ac:dyDescent="0.45">
      <c r="A84">
        <v>0.9</v>
      </c>
      <c r="B84" t="s">
        <v>472</v>
      </c>
      <c r="C84">
        <v>801</v>
      </c>
      <c r="D84">
        <v>10</v>
      </c>
      <c r="E84" t="s">
        <v>7</v>
      </c>
      <c r="F84" t="s">
        <v>10</v>
      </c>
      <c r="H84">
        <v>1</v>
      </c>
    </row>
    <row r="85" spans="1:8" x14ac:dyDescent="0.45">
      <c r="A85">
        <v>0.9</v>
      </c>
      <c r="B85" t="s">
        <v>472</v>
      </c>
      <c r="C85">
        <v>801</v>
      </c>
      <c r="D85">
        <v>11</v>
      </c>
      <c r="E85" t="s">
        <v>18</v>
      </c>
      <c r="F85" t="s">
        <v>496</v>
      </c>
      <c r="H85">
        <v>1</v>
      </c>
    </row>
    <row r="86" spans="1:8" x14ac:dyDescent="0.45">
      <c r="A86">
        <v>0.9</v>
      </c>
      <c r="B86" t="s">
        <v>472</v>
      </c>
      <c r="C86">
        <v>801</v>
      </c>
      <c r="D86">
        <v>12</v>
      </c>
      <c r="E86" t="s">
        <v>5</v>
      </c>
      <c r="F86" t="s">
        <v>497</v>
      </c>
      <c r="G86" t="s">
        <v>171</v>
      </c>
      <c r="H86">
        <v>1</v>
      </c>
    </row>
    <row r="87" spans="1:8" x14ac:dyDescent="0.45">
      <c r="A87">
        <v>0.9</v>
      </c>
      <c r="B87" t="s">
        <v>472</v>
      </c>
      <c r="C87">
        <v>801</v>
      </c>
      <c r="D87">
        <v>13</v>
      </c>
      <c r="E87" t="s">
        <v>7</v>
      </c>
      <c r="F87" t="s">
        <v>10</v>
      </c>
      <c r="H87">
        <v>1</v>
      </c>
    </row>
    <row r="88" spans="1:8" x14ac:dyDescent="0.45">
      <c r="A88">
        <v>0.9</v>
      </c>
      <c r="B88" t="s">
        <v>472</v>
      </c>
      <c r="C88">
        <v>801</v>
      </c>
      <c r="D88">
        <v>14</v>
      </c>
      <c r="E88" t="s">
        <v>5</v>
      </c>
      <c r="F88" t="s">
        <v>218</v>
      </c>
      <c r="H88">
        <v>1</v>
      </c>
    </row>
    <row r="89" spans="1:8" x14ac:dyDescent="0.45">
      <c r="A89">
        <v>0.9</v>
      </c>
      <c r="B89" t="s">
        <v>472</v>
      </c>
      <c r="C89">
        <v>801</v>
      </c>
      <c r="D89">
        <v>15</v>
      </c>
      <c r="E89" t="s">
        <v>5</v>
      </c>
      <c r="F89" t="s">
        <v>220</v>
      </c>
      <c r="H89">
        <v>1</v>
      </c>
    </row>
    <row r="90" spans="1:8" x14ac:dyDescent="0.45">
      <c r="A90">
        <v>0.9</v>
      </c>
      <c r="B90" t="s">
        <v>472</v>
      </c>
      <c r="C90">
        <v>801</v>
      </c>
      <c r="D90">
        <v>16</v>
      </c>
      <c r="E90" t="s">
        <v>5</v>
      </c>
      <c r="F90" t="s">
        <v>498</v>
      </c>
      <c r="H90">
        <v>1</v>
      </c>
    </row>
    <row r="91" spans="1:8" x14ac:dyDescent="0.45">
      <c r="A91">
        <v>0.9</v>
      </c>
      <c r="B91" t="s">
        <v>472</v>
      </c>
      <c r="C91">
        <v>801</v>
      </c>
      <c r="D91">
        <v>17</v>
      </c>
      <c r="E91" t="s">
        <v>7</v>
      </c>
      <c r="F91" t="s">
        <v>381</v>
      </c>
      <c r="H91">
        <v>1</v>
      </c>
    </row>
    <row r="92" spans="1:8" x14ac:dyDescent="0.45">
      <c r="A92">
        <v>0.9</v>
      </c>
      <c r="B92" t="s">
        <v>472</v>
      </c>
      <c r="C92">
        <v>801</v>
      </c>
      <c r="D92">
        <v>18</v>
      </c>
      <c r="E92" t="s">
        <v>18</v>
      </c>
      <c r="F92" t="s">
        <v>499</v>
      </c>
      <c r="H92">
        <v>1</v>
      </c>
    </row>
    <row r="93" spans="1:8" x14ac:dyDescent="0.45">
      <c r="A93">
        <v>0.9</v>
      </c>
      <c r="B93" t="s">
        <v>472</v>
      </c>
      <c r="C93">
        <v>801</v>
      </c>
      <c r="D93">
        <v>19</v>
      </c>
      <c r="E93" t="s">
        <v>18</v>
      </c>
      <c r="F93" t="s">
        <v>500</v>
      </c>
      <c r="H93">
        <v>1</v>
      </c>
    </row>
    <row r="94" spans="1:8" x14ac:dyDescent="0.45">
      <c r="A94">
        <v>0.9</v>
      </c>
      <c r="B94" t="s">
        <v>472</v>
      </c>
      <c r="C94">
        <v>801</v>
      </c>
      <c r="D94">
        <v>20</v>
      </c>
      <c r="E94" t="s">
        <v>7</v>
      </c>
      <c r="F94" t="s">
        <v>11</v>
      </c>
      <c r="H94">
        <v>1</v>
      </c>
    </row>
    <row r="95" spans="1:8" x14ac:dyDescent="0.45">
      <c r="A95">
        <v>0.9</v>
      </c>
      <c r="B95" t="s">
        <v>472</v>
      </c>
      <c r="C95">
        <v>801</v>
      </c>
      <c r="D95">
        <v>21</v>
      </c>
      <c r="E95" t="s">
        <v>18</v>
      </c>
      <c r="F95" t="s">
        <v>218</v>
      </c>
      <c r="H95">
        <v>1</v>
      </c>
    </row>
    <row r="96" spans="1:8" x14ac:dyDescent="0.45">
      <c r="A96">
        <v>0.9</v>
      </c>
      <c r="B96" t="s">
        <v>472</v>
      </c>
      <c r="C96">
        <v>801</v>
      </c>
      <c r="D96">
        <v>22</v>
      </c>
      <c r="E96" t="s">
        <v>7</v>
      </c>
      <c r="F96" t="s">
        <v>10</v>
      </c>
      <c r="H96">
        <v>1</v>
      </c>
    </row>
    <row r="97" spans="1:8" x14ac:dyDescent="0.45">
      <c r="A97">
        <v>0.9</v>
      </c>
      <c r="B97" t="s">
        <v>472</v>
      </c>
      <c r="C97">
        <v>801</v>
      </c>
      <c r="D97">
        <v>23</v>
      </c>
      <c r="E97" t="s">
        <v>7</v>
      </c>
      <c r="F97" t="s">
        <v>11</v>
      </c>
      <c r="H97">
        <v>1</v>
      </c>
    </row>
    <row r="98" spans="1:8" x14ac:dyDescent="0.45">
      <c r="A98">
        <v>0.9</v>
      </c>
      <c r="B98" t="s">
        <v>472</v>
      </c>
      <c r="C98">
        <v>801</v>
      </c>
      <c r="D98">
        <v>24</v>
      </c>
      <c r="E98" t="s">
        <v>5</v>
      </c>
      <c r="F98" t="s">
        <v>400</v>
      </c>
      <c r="H98">
        <v>1</v>
      </c>
    </row>
    <row r="99" spans="1:8" x14ac:dyDescent="0.45">
      <c r="A99">
        <v>0.9</v>
      </c>
      <c r="B99" t="s">
        <v>472</v>
      </c>
      <c r="C99">
        <v>801</v>
      </c>
      <c r="D99">
        <v>25</v>
      </c>
      <c r="E99" t="s">
        <v>5</v>
      </c>
      <c r="F99" t="s">
        <v>88</v>
      </c>
      <c r="H99">
        <v>1</v>
      </c>
    </row>
    <row r="100" spans="1:8" x14ac:dyDescent="0.45">
      <c r="A100">
        <v>0.9</v>
      </c>
      <c r="B100" t="s">
        <v>472</v>
      </c>
      <c r="C100">
        <v>801</v>
      </c>
      <c r="D100">
        <v>26</v>
      </c>
      <c r="E100" t="s">
        <v>5</v>
      </c>
      <c r="F100" t="s">
        <v>329</v>
      </c>
      <c r="H100">
        <v>1</v>
      </c>
    </row>
    <row r="101" spans="1:8" x14ac:dyDescent="0.45">
      <c r="A101">
        <v>0.9</v>
      </c>
      <c r="B101" t="s">
        <v>472</v>
      </c>
      <c r="C101">
        <v>801</v>
      </c>
      <c r="D101">
        <v>27</v>
      </c>
      <c r="E101" t="s">
        <v>5</v>
      </c>
      <c r="F101" t="s">
        <v>46</v>
      </c>
      <c r="H101">
        <v>1</v>
      </c>
    </row>
    <row r="102" spans="1:8" x14ac:dyDescent="0.45">
      <c r="A102">
        <v>0.9</v>
      </c>
      <c r="B102" t="s">
        <v>472</v>
      </c>
      <c r="C102">
        <v>801</v>
      </c>
      <c r="D102">
        <v>28</v>
      </c>
      <c r="E102" t="s">
        <v>18</v>
      </c>
      <c r="F102" t="s">
        <v>501</v>
      </c>
      <c r="H102">
        <v>1</v>
      </c>
    </row>
    <row r="103" spans="1:8" x14ac:dyDescent="0.45">
      <c r="A103">
        <v>0.9</v>
      </c>
      <c r="B103" t="s">
        <v>472</v>
      </c>
      <c r="C103">
        <v>801</v>
      </c>
      <c r="D103">
        <v>29</v>
      </c>
      <c r="E103" t="s">
        <v>5</v>
      </c>
      <c r="F103" t="s">
        <v>410</v>
      </c>
      <c r="G103" t="s">
        <v>171</v>
      </c>
      <c r="H103">
        <v>1</v>
      </c>
    </row>
    <row r="104" spans="1:8" x14ac:dyDescent="0.45">
      <c r="A104">
        <v>0.9</v>
      </c>
      <c r="B104" t="s">
        <v>472</v>
      </c>
      <c r="C104">
        <v>801</v>
      </c>
      <c r="D104">
        <v>30</v>
      </c>
      <c r="E104" t="s">
        <v>7</v>
      </c>
      <c r="F104" t="s">
        <v>9</v>
      </c>
      <c r="H104">
        <v>1</v>
      </c>
    </row>
    <row r="105" spans="1:8" x14ac:dyDescent="0.45">
      <c r="A105">
        <v>0.9</v>
      </c>
      <c r="B105" t="s">
        <v>472</v>
      </c>
      <c r="C105">
        <v>801</v>
      </c>
      <c r="D105">
        <v>31</v>
      </c>
      <c r="E105" t="s">
        <v>5</v>
      </c>
      <c r="F105" t="s">
        <v>410</v>
      </c>
      <c r="G105" t="s">
        <v>171</v>
      </c>
      <c r="H105">
        <v>1</v>
      </c>
    </row>
    <row r="106" spans="1:8" x14ac:dyDescent="0.45">
      <c r="A106">
        <v>0.9</v>
      </c>
      <c r="B106" t="s">
        <v>472</v>
      </c>
      <c r="C106">
        <v>801</v>
      </c>
      <c r="D106">
        <v>32</v>
      </c>
      <c r="E106" t="s">
        <v>5</v>
      </c>
      <c r="F106" t="s">
        <v>504</v>
      </c>
      <c r="H106">
        <v>1</v>
      </c>
    </row>
    <row r="107" spans="1:8" x14ac:dyDescent="0.45">
      <c r="A107">
        <v>0.9</v>
      </c>
      <c r="B107" t="s">
        <v>472</v>
      </c>
      <c r="C107">
        <v>801</v>
      </c>
      <c r="D107">
        <v>33</v>
      </c>
      <c r="E107" t="s">
        <v>5</v>
      </c>
      <c r="F107" t="s">
        <v>249</v>
      </c>
      <c r="H107">
        <v>1</v>
      </c>
    </row>
    <row r="108" spans="1:8" x14ac:dyDescent="0.45">
      <c r="A108">
        <v>0.9</v>
      </c>
      <c r="B108" t="s">
        <v>472</v>
      </c>
      <c r="C108">
        <v>801</v>
      </c>
      <c r="D108">
        <v>34</v>
      </c>
      <c r="E108" t="s">
        <v>18</v>
      </c>
      <c r="F108" t="s">
        <v>505</v>
      </c>
      <c r="H108">
        <v>1</v>
      </c>
    </row>
    <row r="109" spans="1:8" x14ac:dyDescent="0.45">
      <c r="A109">
        <v>0.9</v>
      </c>
      <c r="B109" t="s">
        <v>472</v>
      </c>
      <c r="C109">
        <v>801</v>
      </c>
      <c r="D109">
        <v>35</v>
      </c>
      <c r="E109" t="s">
        <v>7</v>
      </c>
      <c r="F109" t="s">
        <v>10</v>
      </c>
      <c r="H109">
        <v>1</v>
      </c>
    </row>
    <row r="110" spans="1:8" x14ac:dyDescent="0.45">
      <c r="A110">
        <v>0.9</v>
      </c>
      <c r="B110" t="s">
        <v>472</v>
      </c>
      <c r="C110">
        <v>801</v>
      </c>
      <c r="D110">
        <v>36</v>
      </c>
      <c r="E110" t="s">
        <v>7</v>
      </c>
      <c r="F110" t="s">
        <v>9</v>
      </c>
      <c r="H110">
        <v>1</v>
      </c>
    </row>
    <row r="111" spans="1:8" x14ac:dyDescent="0.45">
      <c r="A111">
        <v>0.9</v>
      </c>
      <c r="B111" t="s">
        <v>472</v>
      </c>
      <c r="C111">
        <v>801</v>
      </c>
      <c r="D111">
        <v>37</v>
      </c>
      <c r="E111" t="s">
        <v>7</v>
      </c>
      <c r="F111" t="s">
        <v>10</v>
      </c>
      <c r="H111">
        <v>1</v>
      </c>
    </row>
    <row r="112" spans="1:8" x14ac:dyDescent="0.45">
      <c r="A112">
        <v>0.9</v>
      </c>
      <c r="B112" t="s">
        <v>472</v>
      </c>
      <c r="C112">
        <v>801</v>
      </c>
      <c r="D112">
        <v>38</v>
      </c>
      <c r="E112" t="s">
        <v>7</v>
      </c>
      <c r="F112" t="s">
        <v>11</v>
      </c>
      <c r="H112">
        <v>1</v>
      </c>
    </row>
    <row r="113" spans="1:8" x14ac:dyDescent="0.45">
      <c r="A113">
        <v>0.9</v>
      </c>
      <c r="B113" t="s">
        <v>472</v>
      </c>
      <c r="C113">
        <v>801</v>
      </c>
      <c r="D113">
        <v>39</v>
      </c>
      <c r="E113" t="s">
        <v>5</v>
      </c>
      <c r="F113" t="s">
        <v>461</v>
      </c>
      <c r="H113">
        <v>1</v>
      </c>
    </row>
    <row r="114" spans="1:8" x14ac:dyDescent="0.45">
      <c r="A114">
        <v>0.9</v>
      </c>
      <c r="B114" t="s">
        <v>472</v>
      </c>
      <c r="C114">
        <v>801</v>
      </c>
      <c r="D114">
        <v>40</v>
      </c>
      <c r="E114" t="s">
        <v>5</v>
      </c>
      <c r="F114" t="s">
        <v>502</v>
      </c>
      <c r="H114">
        <v>1</v>
      </c>
    </row>
    <row r="115" spans="1:8" x14ac:dyDescent="0.45">
      <c r="A115">
        <v>0.9</v>
      </c>
      <c r="B115" t="s">
        <v>472</v>
      </c>
      <c r="C115">
        <v>801</v>
      </c>
      <c r="D115">
        <v>41</v>
      </c>
      <c r="E115" t="s">
        <v>5</v>
      </c>
      <c r="F115" t="s">
        <v>503</v>
      </c>
      <c r="H115">
        <v>1</v>
      </c>
    </row>
    <row r="116" spans="1:8" x14ac:dyDescent="0.45">
      <c r="A116">
        <v>0.9</v>
      </c>
      <c r="B116" t="s">
        <v>472</v>
      </c>
      <c r="C116">
        <v>801</v>
      </c>
      <c r="D116">
        <v>42</v>
      </c>
      <c r="E116" t="s">
        <v>5</v>
      </c>
      <c r="F116" t="s">
        <v>324</v>
      </c>
      <c r="G116" t="s">
        <v>171</v>
      </c>
      <c r="H116">
        <v>1</v>
      </c>
    </row>
    <row r="117" spans="1:8" x14ac:dyDescent="0.45">
      <c r="A117">
        <v>0.9</v>
      </c>
      <c r="B117" t="s">
        <v>472</v>
      </c>
      <c r="C117">
        <v>801</v>
      </c>
      <c r="D117">
        <v>43</v>
      </c>
      <c r="E117" t="s">
        <v>5</v>
      </c>
      <c r="F117" t="s">
        <v>324</v>
      </c>
      <c r="H117">
        <v>1</v>
      </c>
    </row>
    <row r="118" spans="1:8" x14ac:dyDescent="0.45">
      <c r="A118">
        <v>0.9</v>
      </c>
      <c r="B118" t="s">
        <v>472</v>
      </c>
      <c r="C118">
        <v>801</v>
      </c>
      <c r="D118">
        <v>44</v>
      </c>
      <c r="E118" t="s">
        <v>5</v>
      </c>
      <c r="F118" t="s">
        <v>41</v>
      </c>
      <c r="G118" t="s">
        <v>171</v>
      </c>
      <c r="H118">
        <v>1</v>
      </c>
    </row>
    <row r="119" spans="1:8" x14ac:dyDescent="0.45">
      <c r="A119">
        <v>0.9</v>
      </c>
      <c r="B119" t="s">
        <v>472</v>
      </c>
      <c r="C119">
        <v>801</v>
      </c>
      <c r="D119">
        <v>45</v>
      </c>
      <c r="E119" t="s">
        <v>18</v>
      </c>
      <c r="F119" t="s">
        <v>506</v>
      </c>
      <c r="H119">
        <v>1</v>
      </c>
    </row>
    <row r="120" spans="1:8" x14ac:dyDescent="0.45">
      <c r="A120">
        <v>0.9</v>
      </c>
      <c r="B120" t="s">
        <v>472</v>
      </c>
      <c r="C120">
        <v>801</v>
      </c>
      <c r="D120">
        <v>46</v>
      </c>
      <c r="E120" t="s">
        <v>5</v>
      </c>
      <c r="F120" t="s">
        <v>217</v>
      </c>
      <c r="G120" t="s">
        <v>171</v>
      </c>
      <c r="H120">
        <v>1</v>
      </c>
    </row>
    <row r="121" spans="1:8" x14ac:dyDescent="0.45">
      <c r="A121">
        <v>0.9</v>
      </c>
      <c r="B121" t="s">
        <v>472</v>
      </c>
      <c r="C121">
        <v>401</v>
      </c>
      <c r="D121">
        <v>1</v>
      </c>
      <c r="E121" t="s">
        <v>18</v>
      </c>
      <c r="F121" t="s">
        <v>76</v>
      </c>
      <c r="H121">
        <v>1</v>
      </c>
    </row>
    <row r="122" spans="1:8" x14ac:dyDescent="0.45">
      <c r="A122">
        <v>0.9</v>
      </c>
      <c r="B122" t="s">
        <v>472</v>
      </c>
      <c r="C122">
        <v>401</v>
      </c>
      <c r="D122">
        <v>2</v>
      </c>
      <c r="E122" t="s">
        <v>5</v>
      </c>
      <c r="F122" t="s">
        <v>507</v>
      </c>
      <c r="H122">
        <v>1</v>
      </c>
    </row>
    <row r="123" spans="1:8" x14ac:dyDescent="0.45">
      <c r="A123">
        <v>0.9</v>
      </c>
      <c r="B123" t="s">
        <v>472</v>
      </c>
      <c r="C123">
        <v>401</v>
      </c>
      <c r="D123">
        <v>3</v>
      </c>
      <c r="E123" t="s">
        <v>5</v>
      </c>
      <c r="F123" t="s">
        <v>34</v>
      </c>
      <c r="H123">
        <v>1</v>
      </c>
    </row>
    <row r="124" spans="1:8" x14ac:dyDescent="0.45">
      <c r="A124">
        <v>0.9</v>
      </c>
      <c r="B124" t="s">
        <v>472</v>
      </c>
      <c r="C124">
        <v>401</v>
      </c>
      <c r="D124">
        <v>4</v>
      </c>
      <c r="E124" t="s">
        <v>5</v>
      </c>
      <c r="F124" t="s">
        <v>214</v>
      </c>
      <c r="H124">
        <v>1</v>
      </c>
    </row>
    <row r="125" spans="1:8" x14ac:dyDescent="0.45">
      <c r="A125">
        <v>0.9</v>
      </c>
      <c r="B125" t="s">
        <v>472</v>
      </c>
      <c r="C125">
        <v>401</v>
      </c>
      <c r="D125">
        <v>5</v>
      </c>
      <c r="E125" t="s">
        <v>5</v>
      </c>
      <c r="F125" t="s">
        <v>509</v>
      </c>
      <c r="H125">
        <v>1</v>
      </c>
    </row>
    <row r="126" spans="1:8" x14ac:dyDescent="0.45">
      <c r="A126">
        <v>0.9</v>
      </c>
      <c r="B126" t="s">
        <v>472</v>
      </c>
      <c r="C126">
        <v>401</v>
      </c>
      <c r="D126">
        <v>6</v>
      </c>
      <c r="E126" t="s">
        <v>7</v>
      </c>
      <c r="F126" t="s">
        <v>9</v>
      </c>
      <c r="H126">
        <v>1</v>
      </c>
    </row>
    <row r="127" spans="1:8" x14ac:dyDescent="0.45">
      <c r="A127">
        <v>0.9</v>
      </c>
      <c r="B127" t="s">
        <v>472</v>
      </c>
      <c r="C127">
        <v>401</v>
      </c>
      <c r="D127">
        <v>7</v>
      </c>
      <c r="E127" t="s">
        <v>5</v>
      </c>
      <c r="F127" t="s">
        <v>118</v>
      </c>
      <c r="G127" t="s">
        <v>171</v>
      </c>
      <c r="H127">
        <v>1</v>
      </c>
    </row>
    <row r="128" spans="1:8" x14ac:dyDescent="0.45">
      <c r="A128">
        <v>0.9</v>
      </c>
      <c r="B128" t="s">
        <v>472</v>
      </c>
      <c r="C128">
        <v>401</v>
      </c>
      <c r="D128">
        <v>8</v>
      </c>
      <c r="E128" t="s">
        <v>7</v>
      </c>
      <c r="F128" t="s">
        <v>10</v>
      </c>
      <c r="H128">
        <v>1</v>
      </c>
    </row>
    <row r="129" spans="1:8" x14ac:dyDescent="0.45">
      <c r="A129">
        <v>0.9</v>
      </c>
      <c r="B129" t="s">
        <v>472</v>
      </c>
      <c r="C129">
        <v>401</v>
      </c>
      <c r="D129">
        <v>9</v>
      </c>
      <c r="E129" t="s">
        <v>7</v>
      </c>
      <c r="F129" t="s">
        <v>9</v>
      </c>
      <c r="H129">
        <v>1</v>
      </c>
    </row>
    <row r="130" spans="1:8" x14ac:dyDescent="0.45">
      <c r="A130">
        <v>0.9</v>
      </c>
      <c r="B130" t="s">
        <v>472</v>
      </c>
      <c r="C130">
        <v>401</v>
      </c>
      <c r="D130">
        <v>10</v>
      </c>
      <c r="E130" t="s">
        <v>7</v>
      </c>
      <c r="F130" t="s">
        <v>11</v>
      </c>
      <c r="H130">
        <v>1</v>
      </c>
    </row>
    <row r="131" spans="1:8" x14ac:dyDescent="0.45">
      <c r="A131">
        <v>0.9</v>
      </c>
      <c r="B131" t="s">
        <v>472</v>
      </c>
      <c r="C131">
        <v>401</v>
      </c>
      <c r="D131">
        <v>11</v>
      </c>
      <c r="E131" t="s">
        <v>5</v>
      </c>
      <c r="F131" t="s">
        <v>114</v>
      </c>
      <c r="H131">
        <v>1</v>
      </c>
    </row>
    <row r="132" spans="1:8" x14ac:dyDescent="0.45">
      <c r="A132">
        <v>0.9</v>
      </c>
      <c r="B132" t="s">
        <v>472</v>
      </c>
      <c r="C132">
        <v>401</v>
      </c>
      <c r="D132">
        <v>12</v>
      </c>
      <c r="E132" t="s">
        <v>7</v>
      </c>
      <c r="F132" t="s">
        <v>11</v>
      </c>
      <c r="H132">
        <v>1</v>
      </c>
    </row>
    <row r="133" spans="1:8" x14ac:dyDescent="0.45">
      <c r="A133">
        <v>0.9</v>
      </c>
      <c r="B133" t="s">
        <v>472</v>
      </c>
      <c r="C133">
        <v>401</v>
      </c>
      <c r="D133">
        <v>13</v>
      </c>
      <c r="E133" t="s">
        <v>7</v>
      </c>
      <c r="F133" t="s">
        <v>11</v>
      </c>
      <c r="H133">
        <v>1</v>
      </c>
    </row>
    <row r="134" spans="1:8" x14ac:dyDescent="0.45">
      <c r="A134">
        <v>0.9</v>
      </c>
      <c r="B134" t="s">
        <v>472</v>
      </c>
      <c r="C134">
        <v>401</v>
      </c>
      <c r="D134">
        <v>14</v>
      </c>
      <c r="E134" t="s">
        <v>5</v>
      </c>
      <c r="F134" t="s">
        <v>244</v>
      </c>
      <c r="G134" t="s">
        <v>171</v>
      </c>
      <c r="H134">
        <v>1</v>
      </c>
    </row>
    <row r="135" spans="1:8" x14ac:dyDescent="0.45">
      <c r="A135">
        <v>0.9</v>
      </c>
      <c r="B135" t="s">
        <v>472</v>
      </c>
      <c r="C135">
        <v>401</v>
      </c>
      <c r="D135">
        <v>15</v>
      </c>
      <c r="E135" t="s">
        <v>18</v>
      </c>
      <c r="F135" t="s">
        <v>510</v>
      </c>
      <c r="H135">
        <v>1</v>
      </c>
    </row>
    <row r="136" spans="1:8" x14ac:dyDescent="0.45">
      <c r="A136">
        <v>0.9</v>
      </c>
      <c r="B136" t="s">
        <v>472</v>
      </c>
      <c r="C136">
        <v>401</v>
      </c>
      <c r="D136">
        <v>16</v>
      </c>
      <c r="E136" t="s">
        <v>5</v>
      </c>
      <c r="F136" t="s">
        <v>511</v>
      </c>
      <c r="H136">
        <v>1</v>
      </c>
    </row>
    <row r="137" spans="1:8" x14ac:dyDescent="0.45">
      <c r="A137">
        <v>0.9</v>
      </c>
      <c r="B137" t="s">
        <v>472</v>
      </c>
      <c r="C137">
        <v>401</v>
      </c>
      <c r="D137">
        <v>17</v>
      </c>
      <c r="E137" t="s">
        <v>7</v>
      </c>
      <c r="F137" t="s">
        <v>10</v>
      </c>
      <c r="H137">
        <v>1</v>
      </c>
    </row>
    <row r="138" spans="1:8" x14ac:dyDescent="0.45">
      <c r="A138">
        <v>0.9</v>
      </c>
      <c r="B138" t="s">
        <v>472</v>
      </c>
      <c r="C138">
        <v>401</v>
      </c>
      <c r="D138">
        <v>18</v>
      </c>
      <c r="E138" t="s">
        <v>7</v>
      </c>
      <c r="F138" t="s">
        <v>9</v>
      </c>
      <c r="H138">
        <v>1</v>
      </c>
    </row>
    <row r="139" spans="1:8" x14ac:dyDescent="0.45">
      <c r="A139">
        <v>0.9</v>
      </c>
      <c r="B139" t="s">
        <v>472</v>
      </c>
      <c r="C139">
        <v>401</v>
      </c>
      <c r="D139">
        <v>19</v>
      </c>
      <c r="E139" t="s">
        <v>5</v>
      </c>
      <c r="F139" t="s">
        <v>33</v>
      </c>
      <c r="G139" t="s">
        <v>171</v>
      </c>
      <c r="H139">
        <v>1</v>
      </c>
    </row>
    <row r="140" spans="1:8" x14ac:dyDescent="0.45">
      <c r="A140">
        <v>0.9</v>
      </c>
      <c r="B140" t="s">
        <v>472</v>
      </c>
      <c r="C140">
        <v>401</v>
      </c>
      <c r="D140">
        <v>20</v>
      </c>
      <c r="E140" t="s">
        <v>18</v>
      </c>
      <c r="F140" t="s">
        <v>160</v>
      </c>
      <c r="H140">
        <v>1</v>
      </c>
    </row>
    <row r="141" spans="1:8" x14ac:dyDescent="0.45">
      <c r="A141">
        <v>0.9</v>
      </c>
      <c r="B141" t="s">
        <v>472</v>
      </c>
      <c r="C141">
        <v>401</v>
      </c>
      <c r="D141">
        <v>21</v>
      </c>
      <c r="E141" t="s">
        <v>5</v>
      </c>
      <c r="F141" t="s">
        <v>277</v>
      </c>
      <c r="G141" t="s">
        <v>171</v>
      </c>
      <c r="H141">
        <v>1</v>
      </c>
    </row>
    <row r="142" spans="1:8" x14ac:dyDescent="0.45">
      <c r="A142">
        <v>0.9</v>
      </c>
      <c r="B142" t="s">
        <v>472</v>
      </c>
      <c r="C142">
        <v>401</v>
      </c>
      <c r="D142">
        <v>22</v>
      </c>
      <c r="E142" t="s">
        <v>7</v>
      </c>
      <c r="F142" t="s">
        <v>9</v>
      </c>
      <c r="H142">
        <v>1</v>
      </c>
    </row>
    <row r="143" spans="1:8" x14ac:dyDescent="0.45">
      <c r="A143">
        <v>0.9</v>
      </c>
      <c r="B143" t="s">
        <v>472</v>
      </c>
      <c r="C143">
        <v>401</v>
      </c>
      <c r="D143">
        <v>23</v>
      </c>
      <c r="E143" t="s">
        <v>7</v>
      </c>
      <c r="F143" t="s">
        <v>9</v>
      </c>
      <c r="H143">
        <v>1</v>
      </c>
    </row>
    <row r="144" spans="1:8" x14ac:dyDescent="0.45">
      <c r="A144">
        <v>0.9</v>
      </c>
      <c r="B144" t="s">
        <v>472</v>
      </c>
      <c r="C144">
        <v>401</v>
      </c>
      <c r="D144">
        <v>24</v>
      </c>
      <c r="E144" t="s">
        <v>7</v>
      </c>
      <c r="F144" t="s">
        <v>10</v>
      </c>
      <c r="H144">
        <v>1</v>
      </c>
    </row>
    <row r="145" spans="1:8" x14ac:dyDescent="0.45">
      <c r="A145">
        <v>0.9</v>
      </c>
      <c r="B145" t="s">
        <v>472</v>
      </c>
      <c r="C145">
        <v>401</v>
      </c>
      <c r="D145">
        <v>25</v>
      </c>
      <c r="E145" t="s">
        <v>5</v>
      </c>
      <c r="F145" t="s">
        <v>512</v>
      </c>
      <c r="G145" t="s">
        <v>171</v>
      </c>
      <c r="H145">
        <v>1</v>
      </c>
    </row>
    <row r="146" spans="1:8" x14ac:dyDescent="0.45">
      <c r="A146">
        <v>0.9</v>
      </c>
      <c r="B146" t="s">
        <v>472</v>
      </c>
      <c r="C146">
        <v>401</v>
      </c>
      <c r="D146">
        <v>26</v>
      </c>
      <c r="E146" t="s">
        <v>5</v>
      </c>
      <c r="F146" t="s">
        <v>443</v>
      </c>
      <c r="H146">
        <v>1</v>
      </c>
    </row>
    <row r="147" spans="1:8" x14ac:dyDescent="0.45">
      <c r="A147">
        <v>0.9</v>
      </c>
      <c r="B147" t="s">
        <v>472</v>
      </c>
      <c r="C147">
        <v>401</v>
      </c>
      <c r="D147">
        <v>27</v>
      </c>
      <c r="E147" t="s">
        <v>7</v>
      </c>
      <c r="F147" t="s">
        <v>10</v>
      </c>
      <c r="H147">
        <v>1</v>
      </c>
    </row>
    <row r="148" spans="1:8" x14ac:dyDescent="0.45">
      <c r="A148">
        <v>0.9</v>
      </c>
      <c r="B148" t="s">
        <v>472</v>
      </c>
      <c r="C148">
        <v>401</v>
      </c>
      <c r="D148">
        <v>28</v>
      </c>
      <c r="E148" t="s">
        <v>5</v>
      </c>
      <c r="F148" t="s">
        <v>481</v>
      </c>
      <c r="H148">
        <v>1</v>
      </c>
    </row>
    <row r="149" spans="1:8" x14ac:dyDescent="0.45">
      <c r="A149">
        <v>0.9</v>
      </c>
      <c r="B149" t="s">
        <v>472</v>
      </c>
      <c r="C149">
        <v>401</v>
      </c>
      <c r="D149">
        <v>29</v>
      </c>
      <c r="E149" t="s">
        <v>7</v>
      </c>
      <c r="F149" t="s">
        <v>9</v>
      </c>
      <c r="H149">
        <v>1</v>
      </c>
    </row>
    <row r="150" spans="1:8" x14ac:dyDescent="0.45">
      <c r="A150">
        <v>0.9</v>
      </c>
      <c r="B150" t="s">
        <v>472</v>
      </c>
      <c r="C150">
        <v>401</v>
      </c>
      <c r="D150">
        <v>30</v>
      </c>
      <c r="E150" t="s">
        <v>5</v>
      </c>
      <c r="F150" t="s">
        <v>443</v>
      </c>
      <c r="H150">
        <v>1</v>
      </c>
    </row>
    <row r="151" spans="1:8" x14ac:dyDescent="0.45">
      <c r="A151">
        <v>0.9</v>
      </c>
      <c r="B151" t="s">
        <v>472</v>
      </c>
      <c r="C151">
        <v>401</v>
      </c>
      <c r="D151">
        <v>31</v>
      </c>
      <c r="E151" t="s">
        <v>18</v>
      </c>
      <c r="F151" t="s">
        <v>277</v>
      </c>
      <c r="G151" t="s">
        <v>171</v>
      </c>
      <c r="H151">
        <v>1</v>
      </c>
    </row>
    <row r="152" spans="1:8" x14ac:dyDescent="0.45">
      <c r="A152">
        <v>0.9</v>
      </c>
      <c r="B152" t="s">
        <v>472</v>
      </c>
      <c r="C152">
        <v>401</v>
      </c>
      <c r="D152">
        <v>32</v>
      </c>
      <c r="E152" t="s">
        <v>5</v>
      </c>
      <c r="F152" t="s">
        <v>513</v>
      </c>
      <c r="G152" t="s">
        <v>171</v>
      </c>
      <c r="H152">
        <v>1</v>
      </c>
    </row>
    <row r="153" spans="1:8" x14ac:dyDescent="0.45">
      <c r="A153">
        <v>0.9</v>
      </c>
      <c r="B153" t="s">
        <v>472</v>
      </c>
      <c r="C153">
        <v>401</v>
      </c>
      <c r="D153">
        <v>33</v>
      </c>
      <c r="E153" t="s">
        <v>5</v>
      </c>
      <c r="F153" t="s">
        <v>507</v>
      </c>
      <c r="H153">
        <v>1</v>
      </c>
    </row>
    <row r="154" spans="1:8" x14ac:dyDescent="0.45">
      <c r="A154">
        <v>0.9</v>
      </c>
      <c r="B154" t="s">
        <v>472</v>
      </c>
      <c r="C154">
        <v>401</v>
      </c>
      <c r="D154">
        <v>34</v>
      </c>
      <c r="E154" t="s">
        <v>5</v>
      </c>
      <c r="F154" t="s">
        <v>34</v>
      </c>
      <c r="H154">
        <v>1</v>
      </c>
    </row>
    <row r="155" spans="1:8" x14ac:dyDescent="0.45">
      <c r="A155">
        <v>0.9</v>
      </c>
      <c r="B155" t="s">
        <v>472</v>
      </c>
      <c r="C155">
        <v>401</v>
      </c>
      <c r="D155">
        <v>35</v>
      </c>
      <c r="E155" t="s">
        <v>5</v>
      </c>
      <c r="F155" t="s">
        <v>514</v>
      </c>
      <c r="G155" t="s">
        <v>171</v>
      </c>
      <c r="H155">
        <v>1</v>
      </c>
    </row>
    <row r="156" spans="1:8" x14ac:dyDescent="0.45">
      <c r="A156">
        <v>0.9</v>
      </c>
      <c r="B156" t="s">
        <v>472</v>
      </c>
      <c r="C156">
        <v>401</v>
      </c>
      <c r="D156">
        <v>36</v>
      </c>
      <c r="E156" t="s">
        <v>7</v>
      </c>
      <c r="F156" t="s">
        <v>9</v>
      </c>
      <c r="H156">
        <v>1</v>
      </c>
    </row>
    <row r="157" spans="1:8" x14ac:dyDescent="0.45">
      <c r="A157">
        <v>0.9</v>
      </c>
      <c r="B157" t="s">
        <v>472</v>
      </c>
      <c r="C157">
        <v>401</v>
      </c>
      <c r="D157">
        <v>37</v>
      </c>
      <c r="E157" t="s">
        <v>7</v>
      </c>
      <c r="F157" t="s">
        <v>10</v>
      </c>
      <c r="H157">
        <v>1</v>
      </c>
    </row>
    <row r="158" spans="1:8" x14ac:dyDescent="0.45">
      <c r="A158">
        <v>0.9</v>
      </c>
      <c r="B158" t="s">
        <v>472</v>
      </c>
      <c r="C158">
        <v>401</v>
      </c>
      <c r="D158">
        <v>38</v>
      </c>
      <c r="E158" t="s">
        <v>18</v>
      </c>
      <c r="F158" t="s">
        <v>123</v>
      </c>
      <c r="H158">
        <v>1</v>
      </c>
    </row>
    <row r="159" spans="1:8" x14ac:dyDescent="0.45">
      <c r="A159">
        <v>0.9</v>
      </c>
      <c r="B159" t="s">
        <v>472</v>
      </c>
      <c r="C159">
        <v>401</v>
      </c>
      <c r="D159">
        <v>39</v>
      </c>
      <c r="E159" t="s">
        <v>5</v>
      </c>
      <c r="F159" t="s">
        <v>515</v>
      </c>
      <c r="H159">
        <v>1</v>
      </c>
    </row>
    <row r="160" spans="1:8" x14ac:dyDescent="0.45">
      <c r="A160">
        <v>0.9</v>
      </c>
      <c r="B160" t="s">
        <v>472</v>
      </c>
      <c r="C160">
        <v>401</v>
      </c>
      <c r="D160">
        <v>40</v>
      </c>
      <c r="E160" t="s">
        <v>7</v>
      </c>
      <c r="F160" t="s">
        <v>9</v>
      </c>
      <c r="H160">
        <v>1</v>
      </c>
    </row>
    <row r="161" spans="1:8" x14ac:dyDescent="0.45">
      <c r="A161">
        <v>0.9</v>
      </c>
      <c r="B161" t="s">
        <v>472</v>
      </c>
      <c r="C161">
        <v>401</v>
      </c>
      <c r="D161">
        <v>41</v>
      </c>
      <c r="E161" t="s">
        <v>7</v>
      </c>
      <c r="F161" t="s">
        <v>9</v>
      </c>
      <c r="H161">
        <v>1</v>
      </c>
    </row>
    <row r="162" spans="1:8" x14ac:dyDescent="0.45">
      <c r="A162">
        <v>0.9</v>
      </c>
      <c r="B162" t="s">
        <v>472</v>
      </c>
      <c r="C162">
        <v>401</v>
      </c>
      <c r="D162">
        <v>42</v>
      </c>
      <c r="E162" t="s">
        <v>7</v>
      </c>
      <c r="F162" t="s">
        <v>10</v>
      </c>
      <c r="H162">
        <v>1</v>
      </c>
    </row>
    <row r="163" spans="1:8" x14ac:dyDescent="0.45">
      <c r="A163">
        <v>0.9</v>
      </c>
      <c r="D163">
        <v>1</v>
      </c>
      <c r="H163">
        <v>1</v>
      </c>
    </row>
    <row r="164" spans="1:8" x14ac:dyDescent="0.45">
      <c r="A164">
        <v>0.9</v>
      </c>
      <c r="D164">
        <v>2</v>
      </c>
      <c r="H164">
        <v>1</v>
      </c>
    </row>
    <row r="165" spans="1:8" x14ac:dyDescent="0.45">
      <c r="A165">
        <v>0.9</v>
      </c>
      <c r="H165">
        <v>1</v>
      </c>
    </row>
    <row r="166" spans="1:8" x14ac:dyDescent="0.45">
      <c r="A166">
        <v>0.9</v>
      </c>
      <c r="H166">
        <v>1</v>
      </c>
    </row>
    <row r="167" spans="1:8" x14ac:dyDescent="0.45">
      <c r="A167">
        <v>0.9</v>
      </c>
      <c r="H167">
        <v>1</v>
      </c>
    </row>
    <row r="168" spans="1:8" x14ac:dyDescent="0.45">
      <c r="A168">
        <v>0.9</v>
      </c>
      <c r="H168">
        <v>1</v>
      </c>
    </row>
    <row r="169" spans="1:8" x14ac:dyDescent="0.45">
      <c r="A169">
        <v>0.9</v>
      </c>
      <c r="H169">
        <v>1</v>
      </c>
    </row>
    <row r="170" spans="1:8" x14ac:dyDescent="0.45">
      <c r="A170">
        <v>0.9</v>
      </c>
      <c r="H170">
        <v>1</v>
      </c>
    </row>
    <row r="171" spans="1:8" x14ac:dyDescent="0.45">
      <c r="A171">
        <v>0.9</v>
      </c>
      <c r="D171">
        <v>1</v>
      </c>
      <c r="H171">
        <v>1</v>
      </c>
    </row>
    <row r="172" spans="1:8" x14ac:dyDescent="0.45">
      <c r="A172">
        <v>0.9</v>
      </c>
      <c r="D172">
        <v>2</v>
      </c>
      <c r="H172">
        <v>1</v>
      </c>
    </row>
    <row r="173" spans="1:8" x14ac:dyDescent="0.45">
      <c r="A173">
        <v>0.9</v>
      </c>
      <c r="H173">
        <v>1</v>
      </c>
    </row>
    <row r="174" spans="1:8" x14ac:dyDescent="0.45">
      <c r="A174">
        <v>0.9</v>
      </c>
      <c r="H174">
        <v>1</v>
      </c>
    </row>
    <row r="175" spans="1:8" x14ac:dyDescent="0.45">
      <c r="A175">
        <v>0.9</v>
      </c>
      <c r="H175">
        <v>1</v>
      </c>
    </row>
    <row r="176" spans="1:8" x14ac:dyDescent="0.45">
      <c r="A176">
        <v>0.9</v>
      </c>
      <c r="H176">
        <v>1</v>
      </c>
    </row>
    <row r="177" spans="1:8" x14ac:dyDescent="0.45">
      <c r="A177">
        <v>0.9</v>
      </c>
      <c r="H17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2.1cP</vt:lpstr>
      <vt:lpstr>2.0cP</vt:lpstr>
      <vt:lpstr>1.9cP</vt:lpstr>
      <vt:lpstr>1.8cP</vt:lpstr>
      <vt:lpstr>1.7cP</vt:lpstr>
      <vt:lpstr>1.6cP</vt:lpstr>
      <vt:lpstr>1.5cP</vt:lpstr>
      <vt:lpstr>1.4cP</vt:lpstr>
      <vt:lpstr>1.3cP</vt:lpstr>
      <vt:lpstr>1.2cP</vt:lpstr>
      <vt:lpstr>1.1cP</vt:lpstr>
      <vt:lpstr>1.0cP</vt:lpstr>
      <vt:lpstr>0.9cP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SSLabPowerfulJunior</dc:creator>
  <cp:lastModifiedBy>Rui Zeng</cp:lastModifiedBy>
  <dcterms:created xsi:type="dcterms:W3CDTF">2015-06-05T18:17:20Z</dcterms:created>
  <dcterms:modified xsi:type="dcterms:W3CDTF">2025-04-03T14:34:44Z</dcterms:modified>
</cp:coreProperties>
</file>